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KU全周期汇总" sheetId="2" state="visible" r:id="rId2"/>
    <sheet name="SKU周度明细" sheetId="3" state="visible" r:id="rId3"/>
    <sheet name="GMV明细" sheetId="4" state="visible" r:id="rId4"/>
    <sheet name="GMV公式说明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4" fontId="0" fillId="0" borderId="0" pivotButton="0" quotePrefix="0" xfId="0"/>
    <xf numFmtId="3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/>
    </xf>
    <xf numFmtId="3" fontId="0" fillId="0" borderId="1" applyAlignment="1" pivotButton="0" quotePrefix="0" xfId="0">
      <alignment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0" borderId="1" applyAlignment="1" pivotButton="0" quotePrefix="0" xfId="0">
      <alignment/>
    </xf>
    <xf numFmtId="164" fontId="0" fillId="0" borderId="1" applyAlignment="1" pivotButton="0" quotePrefix="0" xfId="0">
      <alignment/>
    </xf>
    <xf numFmtId="4" fontId="0" fillId="0" borderId="0" applyAlignment="1" pivotButton="0" quotePrefix="0" xfId="0">
      <alignment/>
    </xf>
    <xf numFmtId="0" fontId="0" fillId="0" borderId="1" applyAlignment="1" pivotButton="0" quotePrefix="0" xfId="0">
      <alignment horizontal="center" vertical="center" wrapText="1"/>
    </xf>
    <xf numFmtId="4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SKU GMV贡献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'Dashboard'!B18</f>
            </strRef>
          </tx>
          <spPr>
            <a:ln>
              <a:prstDash val="solid"/>
            </a:ln>
          </spPr>
          <cat>
            <numRef>
              <f>'Dashboard'!$A$19:$A$31</f>
            </numRef>
          </cat>
          <val>
            <numRef>
              <f>'Dashboard'!$B$19:$B$31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AEK 周度GMV&amp;销量联动分析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'Dashboard'!W1</f>
            </strRef>
          </tx>
          <spPr>
            <a:solidFill>
              <a:srgbClr val="2F5597"/>
            </a:solidFill>
            <a:ln>
              <a:prstDash val="solid"/>
            </a:ln>
          </spPr>
          <dLbls>
            <dLblPos val="inEnd"/>
            <showVal val="1"/>
          </dLbls>
          <cat>
            <numRef>
              <f>'Dashboard'!$U$2:$U$8</f>
            </numRef>
          </cat>
          <val>
            <numRef>
              <f>'Dashboard'!$W$2:$W$8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'Dashboard'!V1</f>
            </strRef>
          </tx>
          <spPr>
            <a:ln w="30000">
              <a:solidFill>
                <a:srgbClr val="00B050"/>
              </a:solidFill>
              <a:prstDash val="solid"/>
            </a:ln>
          </spPr>
          <marker>
            <symbol val="circle"/>
            <spPr>
              <a:solidFill>
                <a:srgbClr val="00B050"/>
              </a:solidFill>
              <a:ln>
                <a:prstDash val="solid"/>
              </a:ln>
            </spPr>
          </marker>
          <dLbls>
            <dLblPos val="r"/>
            <showVal val="1"/>
            <showLeaderLines val="1"/>
          </dLbls>
          <val>
            <numRef>
              <f>'Dashboard'!$V$2:$V$8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统计周期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销量(件)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GMV总额(MX$)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 ht="21" customHeight="1">
      <c r="A1" s="1" t="inlineStr">
        <is>
          <t>AEK 5.1-6.18 GMV &amp; SKU贡献分析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U1" t="inlineStr">
        <is>
          <t>统计周期</t>
        </is>
      </c>
      <c r="V1" t="inlineStr">
        <is>
          <t>GMV</t>
        </is>
      </c>
      <c r="W1" t="inlineStr">
        <is>
          <t>销量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U2" t="inlineStr">
        <is>
          <t>5.1-5.7</t>
        </is>
      </c>
      <c r="V2" s="3" t="n">
        <v>10519.63</v>
      </c>
      <c r="W2" s="4" t="n">
        <v>77</v>
      </c>
    </row>
    <row r="3">
      <c r="A3" s="5" t="inlineStr">
        <is>
          <t>全周期GMV</t>
        </is>
      </c>
      <c r="B3" s="6" t="n">
        <v>139117.52</v>
      </c>
      <c r="C3" s="2" t="n"/>
      <c r="D3" s="5" t="inlineStr">
        <is>
          <t>周期</t>
        </is>
      </c>
      <c r="E3" s="6" t="inlineStr">
        <is>
          <t>GMV</t>
        </is>
      </c>
      <c r="F3" s="5" t="inlineStr">
        <is>
          <t>订单行数</t>
        </is>
      </c>
      <c r="G3" s="5" t="inlineStr">
        <is>
          <t>订单数</t>
        </is>
      </c>
      <c r="H3" s="5" t="inlineStr">
        <is>
          <t>销量</t>
        </is>
      </c>
      <c r="I3" s="6" t="inlineStr">
        <is>
          <t>Base金额</t>
        </is>
      </c>
      <c r="J3" s="6" t="inlineStr">
        <is>
          <t>Shipping金额</t>
        </is>
      </c>
      <c r="K3" s="6" t="inlineStr">
        <is>
          <t>返还VAT</t>
        </is>
      </c>
      <c r="L3" s="6" t="inlineStr">
        <is>
          <t>ISR预扣</t>
        </is>
      </c>
      <c r="M3" s="6" t="inlineStr">
        <is>
          <t>退款</t>
        </is>
      </c>
      <c r="N3" s="6" t="inlineStr">
        <is>
          <t>客单价</t>
        </is>
      </c>
      <c r="O3" s="6" t="inlineStr">
        <is>
          <t>件单价</t>
        </is>
      </c>
      <c r="U3" t="inlineStr">
        <is>
          <t>5.8-5.14</t>
        </is>
      </c>
      <c r="V3" s="3" t="n">
        <v>23466.77</v>
      </c>
      <c r="W3" s="4" t="n">
        <v>129</v>
      </c>
    </row>
    <row r="4">
      <c r="A4" s="7" t="inlineStr">
        <is>
          <t>订单数</t>
        </is>
      </c>
      <c r="B4" s="8" t="n">
        <v>694</v>
      </c>
      <c r="C4" s="2" t="n"/>
      <c r="D4" s="9" t="inlineStr">
        <is>
          <t>5.1-5.7</t>
        </is>
      </c>
      <c r="E4" s="10" t="n">
        <v>10519.63</v>
      </c>
      <c r="F4" s="9" t="n">
        <v>62</v>
      </c>
      <c r="G4" s="9" t="n">
        <v>61</v>
      </c>
      <c r="H4" s="9" t="n">
        <v>77</v>
      </c>
      <c r="I4" s="10" t="n">
        <v>11113.24</v>
      </c>
      <c r="J4" s="10" t="n">
        <v>775.8</v>
      </c>
      <c r="K4" s="10" t="n">
        <v>1008.53</v>
      </c>
      <c r="L4" s="10" t="n">
        <v>-315.17</v>
      </c>
      <c r="M4" s="10" t="n">
        <v>78.78</v>
      </c>
      <c r="N4" s="10" t="n">
        <v>172.45</v>
      </c>
      <c r="O4" s="10" t="n">
        <v>136.62</v>
      </c>
      <c r="U4" t="inlineStr">
        <is>
          <t>5.15-5.21</t>
        </is>
      </c>
      <c r="V4" s="3" t="n">
        <v>27283.59</v>
      </c>
      <c r="W4" s="4" t="n">
        <v>145</v>
      </c>
    </row>
    <row r="5">
      <c r="A5" s="7" t="inlineStr">
        <is>
          <t>销量</t>
        </is>
      </c>
      <c r="B5" s="8" t="n">
        <v>764</v>
      </c>
      <c r="C5" s="2" t="n"/>
      <c r="D5" s="9" t="inlineStr">
        <is>
          <t>5.8-5.14</t>
        </is>
      </c>
      <c r="E5" s="10" t="n">
        <v>23466.77</v>
      </c>
      <c r="F5" s="9" t="n">
        <v>120</v>
      </c>
      <c r="G5" s="9" t="n">
        <v>116</v>
      </c>
      <c r="H5" s="9" t="n">
        <v>129</v>
      </c>
      <c r="I5" s="10" t="n">
        <v>23055.38</v>
      </c>
      <c r="J5" s="10" t="n">
        <v>2741.16</v>
      </c>
      <c r="K5" s="10" t="n">
        <v>2199.19</v>
      </c>
      <c r="L5" s="10" t="n">
        <v>-687.25</v>
      </c>
      <c r="M5" s="10" t="n">
        <v>1.72</v>
      </c>
      <c r="N5" s="10" t="n">
        <v>202.3</v>
      </c>
      <c r="O5" s="10" t="n">
        <v>181.91</v>
      </c>
      <c r="U5" t="inlineStr">
        <is>
          <t>5.22-5.28</t>
        </is>
      </c>
      <c r="V5" s="3" t="n">
        <v>26854.79</v>
      </c>
      <c r="W5" s="4" t="n">
        <v>143</v>
      </c>
    </row>
    <row r="6">
      <c r="A6" s="7" t="inlineStr">
        <is>
          <t>客单价</t>
        </is>
      </c>
      <c r="B6" s="11" t="n">
        <v>200.46</v>
      </c>
      <c r="C6" s="2" t="n"/>
      <c r="D6" s="9" t="inlineStr">
        <is>
          <t>5.15-5.21</t>
        </is>
      </c>
      <c r="E6" s="10" t="n">
        <v>27283.59</v>
      </c>
      <c r="F6" s="9" t="n">
        <v>136</v>
      </c>
      <c r="G6" s="9" t="n">
        <v>131</v>
      </c>
      <c r="H6" s="9" t="n">
        <v>145</v>
      </c>
      <c r="I6" s="10" t="n">
        <v>26849.77</v>
      </c>
      <c r="J6" s="10" t="n">
        <v>2999.76</v>
      </c>
      <c r="K6" s="10" t="n">
        <v>2618.99</v>
      </c>
      <c r="L6" s="10" t="n">
        <v>-818.4299999999999</v>
      </c>
      <c r="M6" s="10" t="n">
        <v>14.49</v>
      </c>
      <c r="N6" s="10" t="n">
        <v>208.27</v>
      </c>
      <c r="O6" s="10" t="n">
        <v>188.16</v>
      </c>
      <c r="U6" t="inlineStr">
        <is>
          <t>5.29-6.4</t>
        </is>
      </c>
      <c r="V6" s="3" t="n">
        <v>16966.82</v>
      </c>
      <c r="W6" s="4" t="n">
        <v>92</v>
      </c>
    </row>
    <row r="7">
      <c r="A7" s="7" t="inlineStr">
        <is>
          <t>件单价</t>
        </is>
      </c>
      <c r="B7" s="11" t="n">
        <v>182.09</v>
      </c>
      <c r="C7" s="2" t="n"/>
      <c r="D7" s="9" t="inlineStr">
        <is>
          <t>5.22-5.28</t>
        </is>
      </c>
      <c r="E7" s="10" t="n">
        <v>26854.79</v>
      </c>
      <c r="F7" s="9" t="n">
        <v>133</v>
      </c>
      <c r="G7" s="9" t="n">
        <v>129</v>
      </c>
      <c r="H7" s="9" t="n">
        <v>143</v>
      </c>
      <c r="I7" s="10" t="n">
        <v>26368.92</v>
      </c>
      <c r="J7" s="10" t="n">
        <v>2973.9</v>
      </c>
      <c r="K7" s="10" t="n">
        <v>2577.42</v>
      </c>
      <c r="L7" s="10" t="n">
        <v>-805.4400000000001</v>
      </c>
      <c r="M7" s="10" t="n">
        <v>4</v>
      </c>
      <c r="N7" s="10" t="n">
        <v>208.18</v>
      </c>
      <c r="O7" s="10" t="n">
        <v>187.8</v>
      </c>
      <c r="U7" t="inlineStr">
        <is>
          <t>6.5-6.11</t>
        </is>
      </c>
      <c r="V7" s="3" t="n">
        <v>12227.23</v>
      </c>
      <c r="W7" s="4" t="n">
        <v>67</v>
      </c>
    </row>
    <row r="8">
      <c r="A8" s="7" t="inlineStr">
        <is>
          <t>6.12-6.18 GMV环比</t>
        </is>
      </c>
      <c r="B8" s="12" t="n">
        <v>0.7827991010620199</v>
      </c>
      <c r="C8" s="2" t="n"/>
      <c r="D8" s="9" t="inlineStr">
        <is>
          <t>5.29-6.4</t>
        </is>
      </c>
      <c r="E8" s="10" t="n">
        <v>16966.82</v>
      </c>
      <c r="F8" s="9" t="n">
        <v>87</v>
      </c>
      <c r="G8" s="9" t="n">
        <v>86</v>
      </c>
      <c r="H8" s="9" t="n">
        <v>92</v>
      </c>
      <c r="I8" s="10" t="n">
        <v>17003.63</v>
      </c>
      <c r="J8" s="10" t="n">
        <v>2068.8</v>
      </c>
      <c r="K8" s="10" t="n">
        <v>1730.31</v>
      </c>
      <c r="L8" s="10" t="n">
        <v>-540.72</v>
      </c>
      <c r="M8" s="10" t="n">
        <v>511.2</v>
      </c>
      <c r="N8" s="10" t="n">
        <v>197.29</v>
      </c>
      <c r="O8" s="10" t="n">
        <v>184.42</v>
      </c>
      <c r="U8" t="inlineStr">
        <is>
          <t>6.12-6.18</t>
        </is>
      </c>
      <c r="V8" s="3" t="n">
        <v>21798.69</v>
      </c>
      <c r="W8" s="4" t="n">
        <v>111</v>
      </c>
    </row>
    <row r="9">
      <c r="A9" s="2" t="n"/>
      <c r="B9" s="13" t="n"/>
      <c r="C9" s="2" t="n"/>
      <c r="D9" s="9" t="inlineStr">
        <is>
          <t>6.5-6.11</t>
        </is>
      </c>
      <c r="E9" s="10" t="n">
        <v>12227.23</v>
      </c>
      <c r="F9" s="9" t="n">
        <v>64</v>
      </c>
      <c r="G9" s="9" t="n">
        <v>64</v>
      </c>
      <c r="H9" s="9" t="n">
        <v>67</v>
      </c>
      <c r="I9" s="10" t="n">
        <v>12705.74</v>
      </c>
      <c r="J9" s="10" t="n">
        <v>1474.02</v>
      </c>
      <c r="K9" s="10" t="n">
        <v>1262.95</v>
      </c>
      <c r="L9" s="10" t="n">
        <v>-394.67</v>
      </c>
      <c r="M9" s="10" t="n">
        <v>772.8099999999999</v>
      </c>
      <c r="N9" s="10" t="n">
        <v>191.05</v>
      </c>
      <c r="O9" s="10" t="n">
        <v>182.5</v>
      </c>
    </row>
    <row r="10">
      <c r="A10" s="5" t="inlineStr">
        <is>
          <t>分析结论</t>
        </is>
      </c>
      <c r="B10" s="6" t="inlineStr">
        <is>
          <t>说明</t>
        </is>
      </c>
      <c r="C10" s="2" t="n"/>
      <c r="D10" s="14" t="inlineStr">
        <is>
          <t>6.12-6.18</t>
        </is>
      </c>
      <c r="E10" s="15" t="n">
        <v>21798.69</v>
      </c>
      <c r="F10" s="14" t="n">
        <v>109</v>
      </c>
      <c r="G10" s="14" t="n">
        <v>107</v>
      </c>
      <c r="H10" s="14" t="n">
        <v>111</v>
      </c>
      <c r="I10" s="15" t="n">
        <v>21171.85</v>
      </c>
      <c r="J10" s="15" t="n">
        <v>2663.58</v>
      </c>
      <c r="K10" s="15" t="n">
        <v>2153.34</v>
      </c>
      <c r="L10" s="15" t="n">
        <v>-672.92</v>
      </c>
      <c r="M10" s="15" t="n">
        <v>29.16</v>
      </c>
      <c r="N10" s="15" t="n">
        <v>203.73</v>
      </c>
      <c r="O10" s="15" t="n">
        <v>196.38</v>
      </c>
    </row>
    <row r="11">
      <c r="A11" s="16" t="inlineStr">
        <is>
          <t>总览</t>
        </is>
      </c>
      <c r="B11" s="17" t="inlineStr">
        <is>
          <t>全周期 GMV 为 MX$139,117.52，订单数 694，销量 764，客单价 MX$200.46，件单价 MX$182.09。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6" t="inlineStr">
        <is>
          <t>周度变化</t>
        </is>
      </c>
      <c r="B12" s="17" t="inlineStr">
        <is>
          <t>6.12-6.18 GMV 为 MX$21,798.69，较 6.5-6.11 增长 MX$9,571.46（+78.3%）；订单数 107，较上周 +43；客单价变化 MX$+12.68。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16" t="inlineStr">
        <is>
          <t>第一贡献SKU</t>
        </is>
      </c>
      <c r="B13" s="17" t="inlineStr">
        <is>
          <t>BS-01 全周期 GMV MX$117,863.34，占比 84.7%，销量 527，订单 507，是最核心业绩来源。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6" t="inlineStr">
        <is>
          <t>第二贡献SKU</t>
        </is>
      </c>
      <c r="B14" s="17" t="inlineStr">
        <is>
          <t>BS-09 全周期 GMV MX$14,620.66，占比 10.5%，销量 124，订单 107。 最新周 GMV 环比 +75.2%。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16" t="inlineStr">
        <is>
          <t>增长SKU</t>
        </is>
      </c>
      <c r="B15" s="17" t="inlineStr">
        <is>
          <t>BS-01（+MX$8,343.76，+81.9%）、BS-09（+MX$1,161.22，+75.2%）、BS-07V（+MX$242.80，+0.0%） 最新周 GMV 增长较明显，可作为增量 SKU 关注。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6" t="inlineStr">
        <is>
          <t>风险SKU</t>
        </is>
      </c>
      <c r="B16" s="17" t="inlineStr">
        <is>
          <t>S-10012N（-MX$234.65，-100.0%）、IE03CB（-MX$77.36，-100.0%） 最新周 GMV 下滑明显，建议排查库存、价格、流量和活动变化。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5" t="inlineStr">
        <is>
          <t>SKU</t>
        </is>
      </c>
      <c r="B18" s="5" t="inlineStr">
        <is>
          <t>GMV</t>
        </is>
      </c>
      <c r="C18" s="5" t="inlineStr">
        <is>
          <t>GMV占比</t>
        </is>
      </c>
      <c r="D18" s="5" t="inlineStr">
        <is>
          <t>销量</t>
        </is>
      </c>
      <c r="E18" s="5" t="inlineStr">
        <is>
          <t>订单数</t>
        </is>
      </c>
      <c r="F18" s="5" t="inlineStr">
        <is>
          <t>客单价</t>
        </is>
      </c>
      <c r="G18" s="5" t="inlineStr">
        <is>
          <t>件单价</t>
        </is>
      </c>
      <c r="H18" s="5" t="inlineStr">
        <is>
          <t>6.5-6.11 GMV</t>
        </is>
      </c>
      <c r="I18" s="5" t="inlineStr">
        <is>
          <t>6.12-6.18 GMV</t>
        </is>
      </c>
      <c r="J18" s="5" t="inlineStr">
        <is>
          <t>GMV变化</t>
        </is>
      </c>
      <c r="K18" s="5" t="inlineStr">
        <is>
          <t>GMV变化%</t>
        </is>
      </c>
      <c r="L18" s="2" t="n"/>
      <c r="M18" s="2" t="n"/>
      <c r="N18" s="2" t="n"/>
      <c r="O18" s="2" t="n"/>
    </row>
    <row r="19">
      <c r="A19" s="9" t="inlineStr">
        <is>
          <t>BS-01</t>
        </is>
      </c>
      <c r="B19" s="10" t="n">
        <v>117863.34</v>
      </c>
      <c r="C19" s="18" t="n">
        <v>0.8472214416171976</v>
      </c>
      <c r="D19" s="9" t="n">
        <v>527</v>
      </c>
      <c r="E19" s="9" t="n">
        <v>507</v>
      </c>
      <c r="F19" s="10" t="n">
        <v>232.47</v>
      </c>
      <c r="G19" s="10" t="n">
        <v>223.65</v>
      </c>
      <c r="H19" s="10" t="n">
        <v>10193.69</v>
      </c>
      <c r="I19" s="10" t="n">
        <v>18537.44</v>
      </c>
      <c r="J19" s="10" t="n">
        <v>8343.76</v>
      </c>
      <c r="K19" s="18" t="n">
        <v>0.8185219672217412</v>
      </c>
      <c r="L19" s="2" t="n"/>
      <c r="M19" s="2" t="n"/>
      <c r="N19" s="2" t="n"/>
      <c r="O19" s="2" t="n"/>
    </row>
    <row r="20">
      <c r="A20" s="9" t="inlineStr">
        <is>
          <t>BS-09</t>
        </is>
      </c>
      <c r="B20" s="10" t="n">
        <v>14620.66</v>
      </c>
      <c r="C20" s="18" t="n">
        <v>0.1050957574698014</v>
      </c>
      <c r="D20" s="9" t="n">
        <v>124</v>
      </c>
      <c r="E20" s="9" t="n">
        <v>107</v>
      </c>
      <c r="F20" s="10" t="n">
        <v>136.64</v>
      </c>
      <c r="G20" s="10" t="n">
        <v>117.91</v>
      </c>
      <c r="H20" s="10" t="n">
        <v>1543.73</v>
      </c>
      <c r="I20" s="10" t="n">
        <v>2704.95</v>
      </c>
      <c r="J20" s="10" t="n">
        <v>1161.22</v>
      </c>
      <c r="K20" s="18" t="n">
        <v>0.7522140243094493</v>
      </c>
      <c r="L20" s="2" t="n"/>
      <c r="M20" s="2" t="n"/>
      <c r="N20" s="2" t="n"/>
      <c r="O20" s="2" t="n"/>
    </row>
    <row r="21">
      <c r="A21" s="9" t="inlineStr">
        <is>
          <t>S-10302</t>
        </is>
      </c>
      <c r="B21" s="10" t="n">
        <v>1748.1</v>
      </c>
      <c r="C21" s="18" t="n">
        <v>0.01256565225502151</v>
      </c>
      <c r="D21" s="9" t="n">
        <v>29</v>
      </c>
      <c r="E21" s="9" t="n">
        <v>29</v>
      </c>
      <c r="F21" s="10" t="n">
        <v>60.28</v>
      </c>
      <c r="G21" s="10" t="n">
        <v>60.28</v>
      </c>
      <c r="H21" s="10" t="n">
        <v>0</v>
      </c>
      <c r="I21" s="10" t="n">
        <v>0</v>
      </c>
      <c r="J21" s="10" t="n">
        <v>0</v>
      </c>
      <c r="K21" s="18" t="n">
        <v>0</v>
      </c>
      <c r="L21" s="2" t="n"/>
      <c r="M21" s="2" t="n"/>
      <c r="N21" s="2" t="n"/>
      <c r="O21" s="2" t="n"/>
    </row>
    <row r="22">
      <c r="A22" s="9" t="inlineStr">
        <is>
          <t>BS-07AM</t>
        </is>
      </c>
      <c r="B22" s="10" t="n">
        <v>820.62</v>
      </c>
      <c r="C22" s="18" t="n">
        <v>0.005898756415203059</v>
      </c>
      <c r="D22" s="9" t="n">
        <v>6</v>
      </c>
      <c r="E22" s="9" t="n">
        <v>6</v>
      </c>
      <c r="F22" s="10" t="n">
        <v>136.77</v>
      </c>
      <c r="G22" s="10" t="n">
        <v>136.77</v>
      </c>
      <c r="H22" s="10" t="n">
        <v>138.73</v>
      </c>
      <c r="I22" s="10" t="n">
        <v>272.19</v>
      </c>
      <c r="J22" s="10" t="n">
        <v>133.46</v>
      </c>
      <c r="K22" s="18" t="n">
        <v>0.9619777892625279</v>
      </c>
      <c r="L22" s="2" t="n"/>
      <c r="M22" s="2" t="n"/>
      <c r="N22" s="2" t="n"/>
      <c r="O22" s="2" t="n"/>
    </row>
    <row r="23">
      <c r="A23" s="9" t="inlineStr">
        <is>
          <t>BS-07V</t>
        </is>
      </c>
      <c r="B23" s="10" t="n">
        <v>788.0599999999999</v>
      </c>
      <c r="C23" s="18" t="n">
        <v>0.005664692074936297</v>
      </c>
      <c r="D23" s="9" t="n">
        <v>6</v>
      </c>
      <c r="E23" s="9" t="n">
        <v>6</v>
      </c>
      <c r="F23" s="10" t="n">
        <v>131.34</v>
      </c>
      <c r="G23" s="10" t="n">
        <v>131.34</v>
      </c>
      <c r="H23" s="10" t="n">
        <v>0</v>
      </c>
      <c r="I23" s="10" t="n">
        <v>242.8</v>
      </c>
      <c r="J23" s="10" t="n">
        <v>242.8</v>
      </c>
      <c r="K23" s="18" t="n">
        <v>0</v>
      </c>
      <c r="L23" s="2" t="n"/>
      <c r="M23" s="2" t="n"/>
      <c r="N23" s="2" t="n"/>
      <c r="O23" s="2" t="n"/>
    </row>
    <row r="24">
      <c r="A24" s="9" t="inlineStr">
        <is>
          <t>PW01CB</t>
        </is>
      </c>
      <c r="B24" s="10" t="n">
        <v>610.92</v>
      </c>
      <c r="C24" s="18" t="n">
        <v>0.004391370045269288</v>
      </c>
      <c r="D24" s="9" t="n">
        <v>5</v>
      </c>
      <c r="E24" s="9" t="n">
        <v>1</v>
      </c>
      <c r="F24" s="10" t="n">
        <v>610.92</v>
      </c>
      <c r="G24" s="10" t="n">
        <v>122.18</v>
      </c>
      <c r="H24" s="10" t="n">
        <v>0</v>
      </c>
      <c r="I24" s="10" t="n">
        <v>0</v>
      </c>
      <c r="J24" s="10" t="n">
        <v>0</v>
      </c>
      <c r="K24" s="18" t="n">
        <v>0</v>
      </c>
      <c r="L24" s="2" t="n"/>
      <c r="M24" s="2" t="n"/>
      <c r="N24" s="2" t="n"/>
      <c r="O24" s="2" t="n"/>
    </row>
    <row r="25">
      <c r="A25" s="9" t="inlineStr">
        <is>
          <t>PW01CN</t>
        </is>
      </c>
      <c r="B25" s="10" t="n">
        <v>610.92</v>
      </c>
      <c r="C25" s="18" t="n">
        <v>0.004391370045269288</v>
      </c>
      <c r="D25" s="9" t="n">
        <v>5</v>
      </c>
      <c r="E25" s="9" t="n">
        <v>1</v>
      </c>
      <c r="F25" s="10" t="n">
        <v>610.92</v>
      </c>
      <c r="G25" s="10" t="n">
        <v>122.18</v>
      </c>
      <c r="H25" s="10" t="n">
        <v>0</v>
      </c>
      <c r="I25" s="10" t="n">
        <v>0</v>
      </c>
      <c r="J25" s="10" t="n">
        <v>0</v>
      </c>
      <c r="K25" s="18" t="n">
        <v>0</v>
      </c>
      <c r="L25" s="2" t="n"/>
      <c r="M25" s="2" t="n"/>
      <c r="N25" s="2" t="n"/>
      <c r="O25" s="2" t="n"/>
    </row>
    <row r="26">
      <c r="A26" s="9" t="inlineStr">
        <is>
          <t>IE03CN</t>
        </is>
      </c>
      <c r="B26" s="10" t="n">
        <v>608.1900000000001</v>
      </c>
      <c r="C26" s="18" t="n">
        <v>0.004371752098909109</v>
      </c>
      <c r="D26" s="9" t="n">
        <v>20</v>
      </c>
      <c r="E26" s="9" t="n">
        <v>17</v>
      </c>
      <c r="F26" s="10" t="n">
        <v>35.78</v>
      </c>
      <c r="G26" s="10" t="n">
        <v>30.41</v>
      </c>
      <c r="H26" s="10" t="n">
        <v>39.06</v>
      </c>
      <c r="I26" s="10" t="n">
        <v>39.06</v>
      </c>
      <c r="J26" s="10" t="n">
        <v>0</v>
      </c>
      <c r="K26" s="18" t="n">
        <v>0</v>
      </c>
      <c r="L26" s="2" t="n"/>
      <c r="M26" s="2" t="n"/>
      <c r="N26" s="2" t="n"/>
      <c r="O26" s="2" t="n"/>
    </row>
    <row r="27">
      <c r="A27" s="9" t="inlineStr">
        <is>
          <t>BS-07G</t>
        </is>
      </c>
      <c r="B27" s="10" t="n">
        <v>493.01</v>
      </c>
      <c r="C27" s="18" t="n">
        <v>0.003543812872388536</v>
      </c>
      <c r="D27" s="9" t="n">
        <v>4</v>
      </c>
      <c r="E27" s="9" t="n">
        <v>2</v>
      </c>
      <c r="F27" s="10" t="n">
        <v>246.5</v>
      </c>
      <c r="G27" s="10" t="n">
        <v>123.25</v>
      </c>
      <c r="H27" s="10" t="n">
        <v>0</v>
      </c>
      <c r="I27" s="10" t="n">
        <v>0</v>
      </c>
      <c r="J27" s="10" t="n">
        <v>0</v>
      </c>
      <c r="K27" s="18" t="n">
        <v>0</v>
      </c>
      <c r="L27" s="2" t="n"/>
      <c r="M27" s="2" t="n"/>
      <c r="N27" s="2" t="n"/>
      <c r="O27" s="2" t="n"/>
    </row>
    <row r="28">
      <c r="A28" s="9" t="inlineStr">
        <is>
          <t>S-10012N</t>
        </is>
      </c>
      <c r="B28" s="10" t="n">
        <v>485.13</v>
      </c>
      <c r="C28" s="18" t="n">
        <v>0.003487217196084286</v>
      </c>
      <c r="D28" s="9" t="n">
        <v>2</v>
      </c>
      <c r="E28" s="9" t="n">
        <v>2</v>
      </c>
      <c r="F28" s="10" t="n">
        <v>242.57</v>
      </c>
      <c r="G28" s="10" t="n">
        <v>242.57</v>
      </c>
      <c r="H28" s="10" t="n">
        <v>234.65</v>
      </c>
      <c r="I28" s="10" t="n">
        <v>0</v>
      </c>
      <c r="J28" s="10" t="n">
        <v>-234.65</v>
      </c>
      <c r="K28" s="18" t="n">
        <v>-1</v>
      </c>
      <c r="L28" s="2" t="n"/>
      <c r="M28" s="2" t="n"/>
      <c r="N28" s="2" t="n"/>
      <c r="O28" s="2" t="n"/>
    </row>
    <row r="29">
      <c r="A29" s="9" t="inlineStr">
        <is>
          <t>IE01MB</t>
        </is>
      </c>
      <c r="B29" s="10" t="n">
        <v>300.97</v>
      </c>
      <c r="C29" s="18" t="n">
        <v>0.002163445373206224</v>
      </c>
      <c r="D29" s="9" t="n">
        <v>28</v>
      </c>
      <c r="E29" s="9" t="n">
        <v>25</v>
      </c>
      <c r="F29" s="10" t="n">
        <v>12.04</v>
      </c>
      <c r="G29" s="10" t="n">
        <v>10.75</v>
      </c>
      <c r="H29" s="10" t="n">
        <v>0</v>
      </c>
      <c r="I29" s="10" t="n">
        <v>0</v>
      </c>
      <c r="J29" s="10" t="n">
        <v>0</v>
      </c>
      <c r="K29" s="18" t="n">
        <v>0</v>
      </c>
      <c r="L29" s="2" t="n"/>
      <c r="M29" s="2" t="n"/>
      <c r="N29" s="2" t="n"/>
      <c r="O29" s="2" t="n"/>
    </row>
    <row r="30">
      <c r="A30" s="9" t="inlineStr">
        <is>
          <t>IE03CB</t>
        </is>
      </c>
      <c r="B30" s="10" t="n">
        <v>142.27</v>
      </c>
      <c r="C30" s="18" t="n">
        <v>0.001022654460431046</v>
      </c>
      <c r="D30" s="9" t="n">
        <v>5</v>
      </c>
      <c r="E30" s="9" t="n">
        <v>5</v>
      </c>
      <c r="F30" s="10" t="n">
        <v>28.45</v>
      </c>
      <c r="G30" s="10" t="n">
        <v>28.45</v>
      </c>
      <c r="H30" s="10" t="n">
        <v>77.36</v>
      </c>
      <c r="I30" s="10" t="n">
        <v>0</v>
      </c>
      <c r="J30" s="10" t="n">
        <v>-77.36</v>
      </c>
      <c r="K30" s="18" t="n">
        <v>-1</v>
      </c>
      <c r="L30" s="2" t="n"/>
      <c r="M30" s="2" t="n"/>
      <c r="N30" s="2" t="n"/>
      <c r="O30" s="2" t="n"/>
    </row>
    <row r="31">
      <c r="A31" s="9" t="inlineStr">
        <is>
          <t>GA01UN</t>
        </is>
      </c>
      <c r="B31" s="10" t="n">
        <v>25.33</v>
      </c>
      <c r="C31" s="18" t="n">
        <v>0.0001820780762824091</v>
      </c>
      <c r="D31" s="9" t="n">
        <v>3</v>
      </c>
      <c r="E31" s="9" t="n">
        <v>3</v>
      </c>
      <c r="F31" s="10" t="n">
        <v>8.44</v>
      </c>
      <c r="G31" s="10" t="n">
        <v>8.44</v>
      </c>
      <c r="H31" s="10" t="n">
        <v>0</v>
      </c>
      <c r="I31" s="10" t="n">
        <v>2.24</v>
      </c>
      <c r="J31" s="10" t="n">
        <v>2.24</v>
      </c>
      <c r="K31" s="18" t="n">
        <v>0</v>
      </c>
      <c r="L31" s="2" t="n"/>
      <c r="M31" s="2" t="n"/>
      <c r="N31" s="2" t="n"/>
      <c r="O31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</cols>
  <sheetData>
    <row r="1" ht="27.6" customHeight="1">
      <c r="A1" s="5" t="inlineStr">
        <is>
          <t>SKU</t>
        </is>
      </c>
      <c r="B1" s="5" t="inlineStr">
        <is>
          <t>商品名称</t>
        </is>
      </c>
      <c r="C1" s="5" t="inlineStr">
        <is>
          <t>GMV</t>
        </is>
      </c>
      <c r="D1" s="5" t="inlineStr">
        <is>
          <t>GMV占比</t>
        </is>
      </c>
      <c r="E1" s="5" t="inlineStr">
        <is>
          <t>销量</t>
        </is>
      </c>
      <c r="F1" s="5" t="inlineStr">
        <is>
          <t>订单数</t>
        </is>
      </c>
      <c r="G1" s="5" t="inlineStr">
        <is>
          <t>订单行数</t>
        </is>
      </c>
      <c r="H1" s="5" t="inlineStr">
        <is>
          <t>客单价</t>
        </is>
      </c>
      <c r="I1" s="5" t="inlineStr">
        <is>
          <t>件单价</t>
        </is>
      </c>
      <c r="J1" s="5" t="inlineStr">
        <is>
          <t>5.1-5.7 GMV</t>
        </is>
      </c>
      <c r="K1" s="5" t="inlineStr">
        <is>
          <t>5.8-5.14 GMV</t>
        </is>
      </c>
      <c r="L1" s="5" t="inlineStr">
        <is>
          <t>5.15-5.21 GMV</t>
        </is>
      </c>
      <c r="M1" s="5" t="inlineStr">
        <is>
          <t>5.22-5.28 GMV</t>
        </is>
      </c>
      <c r="N1" s="5" t="inlineStr">
        <is>
          <t>5.29-6.4 GMV</t>
        </is>
      </c>
      <c r="O1" s="5" t="inlineStr">
        <is>
          <t>6.5-6.11 GMV</t>
        </is>
      </c>
      <c r="P1" s="5" t="inlineStr">
        <is>
          <t>6.12-6.18 GMV</t>
        </is>
      </c>
      <c r="Q1" s="5" t="inlineStr">
        <is>
          <t>GMV变化</t>
        </is>
      </c>
      <c r="R1" s="5" t="inlineStr">
        <is>
          <t>GMV变化%</t>
        </is>
      </c>
    </row>
    <row r="2">
      <c r="A2" s="19" t="inlineStr">
        <is>
          <t>BS-01</t>
        </is>
      </c>
      <c r="B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C2" s="20" t="n">
        <v>117863.34</v>
      </c>
      <c r="D2" s="21" t="n">
        <v>0.8472214416171976</v>
      </c>
      <c r="E2" s="19" t="n">
        <v>527</v>
      </c>
      <c r="F2" s="19" t="n">
        <v>507</v>
      </c>
      <c r="G2" s="19" t="n">
        <v>507</v>
      </c>
      <c r="H2" s="20" t="n">
        <v>232.47</v>
      </c>
      <c r="I2" s="20" t="n">
        <v>223.65</v>
      </c>
      <c r="J2" s="20" t="n">
        <v>6594.46</v>
      </c>
      <c r="K2" s="20" t="n">
        <v>20584.59</v>
      </c>
      <c r="L2" s="20" t="n">
        <v>24101.56</v>
      </c>
      <c r="M2" s="20" t="n">
        <v>23719.43</v>
      </c>
      <c r="N2" s="20" t="n">
        <v>14132.17</v>
      </c>
      <c r="O2" s="20" t="n">
        <v>10193.69</v>
      </c>
      <c r="P2" s="20" t="n">
        <v>18537.44</v>
      </c>
      <c r="Q2" s="20" t="n">
        <v>8343.76</v>
      </c>
      <c r="R2" s="21" t="n">
        <v>0.8185219672217412</v>
      </c>
    </row>
    <row r="3">
      <c r="A3" s="19" t="inlineStr">
        <is>
          <t>BS-09</t>
        </is>
      </c>
      <c r="B3" s="19" t="inlineStr">
        <is>
          <t>Altavoz de barra para PC con iluminación RGB, sonido de alta fidelidad y múltiples conexiones: Bluetooth, radio FM, USB, TF, AUX y TWS. Ideal para juegos, reuniones y cine en casa.</t>
        </is>
      </c>
      <c r="C3" s="20" t="n">
        <v>14620.66</v>
      </c>
      <c r="D3" s="21" t="n">
        <v>0.1050957574698014</v>
      </c>
      <c r="E3" s="19" t="n">
        <v>124</v>
      </c>
      <c r="F3" s="19" t="n">
        <v>107</v>
      </c>
      <c r="G3" s="19" t="n">
        <v>107</v>
      </c>
      <c r="H3" s="20" t="n">
        <v>136.64</v>
      </c>
      <c r="I3" s="20" t="n">
        <v>117.91</v>
      </c>
      <c r="J3" s="20" t="n">
        <v>1325.32</v>
      </c>
      <c r="K3" s="20" t="n">
        <v>1972.33</v>
      </c>
      <c r="L3" s="20" t="n">
        <v>2215.14</v>
      </c>
      <c r="M3" s="20" t="n">
        <v>2407.28</v>
      </c>
      <c r="N3" s="20" t="n">
        <v>2451.9</v>
      </c>
      <c r="O3" s="20" t="n">
        <v>1543.73</v>
      </c>
      <c r="P3" s="20" t="n">
        <v>2704.95</v>
      </c>
      <c r="Q3" s="20" t="n">
        <v>1161.22</v>
      </c>
      <c r="R3" s="21" t="n">
        <v>0.7522140243094493</v>
      </c>
    </row>
    <row r="4">
      <c r="A4" s="19" t="inlineStr">
        <is>
          <t>S-10302</t>
        </is>
      </c>
      <c r="B4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C4" s="20" t="n">
        <v>1748.1</v>
      </c>
      <c r="D4" s="21" t="n">
        <v>0.01256565225502151</v>
      </c>
      <c r="E4" s="19" t="n">
        <v>29</v>
      </c>
      <c r="F4" s="19" t="n">
        <v>29</v>
      </c>
      <c r="G4" s="19" t="n">
        <v>29</v>
      </c>
      <c r="H4" s="20" t="n">
        <v>60.28</v>
      </c>
      <c r="I4" s="20" t="n">
        <v>60.28</v>
      </c>
      <c r="J4" s="20" t="n">
        <v>476.84</v>
      </c>
      <c r="K4" s="20" t="n">
        <v>490.63</v>
      </c>
      <c r="L4" s="20" t="n">
        <v>371.29</v>
      </c>
      <c r="M4" s="20" t="n">
        <v>349.96</v>
      </c>
      <c r="N4" s="20" t="n">
        <v>59.38</v>
      </c>
      <c r="O4" s="20" t="n">
        <v>0</v>
      </c>
      <c r="P4" s="20" t="n">
        <v>0</v>
      </c>
      <c r="Q4" s="20" t="n">
        <v>0</v>
      </c>
      <c r="R4" s="21" t="n">
        <v>0</v>
      </c>
    </row>
    <row r="5">
      <c r="A5" s="19" t="inlineStr">
        <is>
          <t>BS-07AM</t>
        </is>
      </c>
      <c r="B5" s="19" t="inlineStr">
        <is>
          <t>Altavoz Inalámbrico Portátil con Diseño Retro, Bajos Optimizados y Sonido 3D Envolvente,Compatible con TF/FM/AUX, Conexión BT TWS. Ideal para Home Theater, Fiestas y Regalos​</t>
        </is>
      </c>
      <c r="C5" s="20" t="n">
        <v>820.62</v>
      </c>
      <c r="D5" s="21" t="n">
        <v>0.005898756415203059</v>
      </c>
      <c r="E5" s="19" t="n">
        <v>6</v>
      </c>
      <c r="F5" s="19" t="n">
        <v>6</v>
      </c>
      <c r="G5" s="19" t="n">
        <v>6</v>
      </c>
      <c r="H5" s="20" t="n">
        <v>136.77</v>
      </c>
      <c r="I5" s="20" t="n">
        <v>136.77</v>
      </c>
      <c r="J5" s="20" t="n">
        <v>0</v>
      </c>
      <c r="K5" s="20" t="n">
        <v>0</v>
      </c>
      <c r="L5" s="20" t="n">
        <v>275.78</v>
      </c>
      <c r="M5" s="20" t="n">
        <v>133.91</v>
      </c>
      <c r="N5" s="20" t="n">
        <v>0</v>
      </c>
      <c r="O5" s="20" t="n">
        <v>138.73</v>
      </c>
      <c r="P5" s="20" t="n">
        <v>272.19</v>
      </c>
      <c r="Q5" s="20" t="n">
        <v>133.46</v>
      </c>
      <c r="R5" s="21" t="n">
        <v>0.9619777892625279</v>
      </c>
    </row>
    <row r="6">
      <c r="A6" s="19" t="inlineStr">
        <is>
          <t>BS-07V</t>
        </is>
      </c>
      <c r="B6" s="19" t="inlineStr">
        <is>
          <t>Altavoz Inalámbrico Portátil con Diseño Retro, Bajos Optimizados y Sonido 3D Envolvente,Compatible con TF/FM/AUX, Conexión BT TWS. Ideal para Home Theater, Fiestas y Regalos​</t>
        </is>
      </c>
      <c r="C6" s="20" t="n">
        <v>788.0599999999999</v>
      </c>
      <c r="D6" s="21" t="n">
        <v>0.005664692074936297</v>
      </c>
      <c r="E6" s="19" t="n">
        <v>6</v>
      </c>
      <c r="F6" s="19" t="n">
        <v>6</v>
      </c>
      <c r="G6" s="19" t="n">
        <v>6</v>
      </c>
      <c r="H6" s="20" t="n">
        <v>131.34</v>
      </c>
      <c r="I6" s="20" t="n">
        <v>131.34</v>
      </c>
      <c r="J6" s="20" t="n">
        <v>0</v>
      </c>
      <c r="K6" s="20" t="n">
        <v>134.33</v>
      </c>
      <c r="L6" s="20" t="n">
        <v>0</v>
      </c>
      <c r="M6" s="20" t="n">
        <v>138.73</v>
      </c>
      <c r="N6" s="20" t="n">
        <v>272.19</v>
      </c>
      <c r="O6" s="20" t="n">
        <v>0</v>
      </c>
      <c r="P6" s="20" t="n">
        <v>242.8</v>
      </c>
      <c r="Q6" s="20" t="n">
        <v>242.8</v>
      </c>
      <c r="R6" s="21" t="n">
        <v>0</v>
      </c>
    </row>
    <row r="7">
      <c r="A7" s="19" t="inlineStr">
        <is>
          <t>PW01CB</t>
        </is>
      </c>
      <c r="B7" s="19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C7" s="20" t="n">
        <v>610.92</v>
      </c>
      <c r="D7" s="21" t="n">
        <v>0.004391370045269288</v>
      </c>
      <c r="E7" s="19" t="n">
        <v>5</v>
      </c>
      <c r="F7" s="19" t="n">
        <v>1</v>
      </c>
      <c r="G7" s="19" t="n">
        <v>1</v>
      </c>
      <c r="H7" s="20" t="n">
        <v>610.92</v>
      </c>
      <c r="I7" s="20" t="n">
        <v>122.18</v>
      </c>
      <c r="J7" s="20" t="n">
        <v>610.92</v>
      </c>
      <c r="K7" s="20" t="n">
        <v>0</v>
      </c>
      <c r="L7" s="20" t="n">
        <v>0</v>
      </c>
      <c r="M7" s="20" t="n">
        <v>0</v>
      </c>
      <c r="N7" s="20" t="n">
        <v>0</v>
      </c>
      <c r="O7" s="20" t="n">
        <v>0</v>
      </c>
      <c r="P7" s="20" t="n">
        <v>0</v>
      </c>
      <c r="Q7" s="20" t="n">
        <v>0</v>
      </c>
      <c r="R7" s="21" t="n">
        <v>0</v>
      </c>
    </row>
    <row r="8">
      <c r="A8" s="19" t="inlineStr">
        <is>
          <t>PW01CN</t>
        </is>
      </c>
      <c r="B8" s="19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C8" s="20" t="n">
        <v>610.92</v>
      </c>
      <c r="D8" s="21" t="n">
        <v>0.004391370045269288</v>
      </c>
      <c r="E8" s="19" t="n">
        <v>5</v>
      </c>
      <c r="F8" s="19" t="n">
        <v>1</v>
      </c>
      <c r="G8" s="19" t="n">
        <v>1</v>
      </c>
      <c r="H8" s="20" t="n">
        <v>610.92</v>
      </c>
      <c r="I8" s="20" t="n">
        <v>122.18</v>
      </c>
      <c r="J8" s="20" t="n">
        <v>610.92</v>
      </c>
      <c r="K8" s="20" t="n">
        <v>0</v>
      </c>
      <c r="L8" s="20" t="n">
        <v>0</v>
      </c>
      <c r="M8" s="20" t="n">
        <v>0</v>
      </c>
      <c r="N8" s="20" t="n">
        <v>0</v>
      </c>
      <c r="O8" s="20" t="n">
        <v>0</v>
      </c>
      <c r="P8" s="20" t="n">
        <v>0</v>
      </c>
      <c r="Q8" s="20" t="n">
        <v>0</v>
      </c>
      <c r="R8" s="21" t="n">
        <v>0</v>
      </c>
    </row>
    <row r="9">
      <c r="A9" s="19" t="inlineStr">
        <is>
          <t>IE03CN</t>
        </is>
      </c>
      <c r="B9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C9" s="20" t="n">
        <v>608.1900000000001</v>
      </c>
      <c r="D9" s="21" t="n">
        <v>0.004371752098909109</v>
      </c>
      <c r="E9" s="19" t="n">
        <v>20</v>
      </c>
      <c r="F9" s="19" t="n">
        <v>17</v>
      </c>
      <c r="G9" s="19" t="n">
        <v>17</v>
      </c>
      <c r="H9" s="20" t="n">
        <v>35.78</v>
      </c>
      <c r="I9" s="20" t="n">
        <v>30.41</v>
      </c>
      <c r="J9" s="20" t="n">
        <v>166.15</v>
      </c>
      <c r="K9" s="20" t="n">
        <v>224.62</v>
      </c>
      <c r="L9" s="20" t="n">
        <v>73.83</v>
      </c>
      <c r="M9" s="20" t="n">
        <v>65.47</v>
      </c>
      <c r="N9" s="20" t="n">
        <v>0</v>
      </c>
      <c r="O9" s="20" t="n">
        <v>39.06</v>
      </c>
      <c r="P9" s="20" t="n">
        <v>39.06</v>
      </c>
      <c r="Q9" s="20" t="n">
        <v>0</v>
      </c>
      <c r="R9" s="21" t="n">
        <v>0</v>
      </c>
    </row>
    <row r="10">
      <c r="A10" s="19" t="inlineStr">
        <is>
          <t>BS-07G</t>
        </is>
      </c>
      <c r="B10" s="19" t="inlineStr">
        <is>
          <t>Altavoz Inalámbrico Portátil con Diseño Retro, Bajos Optimizados y Sonido 3D Envolvente,Compatible con TF/FM/AUX, Conexión BT TWS. Ideal para Home Theater, Fiestas y Regalos​</t>
        </is>
      </c>
      <c r="C10" s="20" t="n">
        <v>493.01</v>
      </c>
      <c r="D10" s="21" t="n">
        <v>0.003543812872388536</v>
      </c>
      <c r="E10" s="19" t="n">
        <v>4</v>
      </c>
      <c r="F10" s="19" t="n">
        <v>2</v>
      </c>
      <c r="G10" s="19" t="n">
        <v>2</v>
      </c>
      <c r="H10" s="20" t="n">
        <v>246.5</v>
      </c>
      <c r="I10" s="20" t="n">
        <v>123.25</v>
      </c>
      <c r="J10" s="20" t="n">
        <v>493.01</v>
      </c>
      <c r="K10" s="20" t="n">
        <v>0</v>
      </c>
      <c r="L10" s="20" t="n">
        <v>0</v>
      </c>
      <c r="M10" s="20" t="n">
        <v>0</v>
      </c>
      <c r="N10" s="20" t="n">
        <v>0</v>
      </c>
      <c r="O10" s="20" t="n">
        <v>0</v>
      </c>
      <c r="P10" s="20" t="n">
        <v>0</v>
      </c>
      <c r="Q10" s="20" t="n">
        <v>0</v>
      </c>
      <c r="R10" s="21" t="n">
        <v>0</v>
      </c>
    </row>
    <row r="11">
      <c r="A11" s="19" t="inlineStr">
        <is>
          <t>S-10012N</t>
        </is>
      </c>
      <c r="B11" s="19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C11" s="20" t="n">
        <v>485.13</v>
      </c>
      <c r="D11" s="21" t="n">
        <v>0.003487217196084286</v>
      </c>
      <c r="E11" s="19" t="n">
        <v>2</v>
      </c>
      <c r="F11" s="19" t="n">
        <v>2</v>
      </c>
      <c r="G11" s="19" t="n">
        <v>2</v>
      </c>
      <c r="H11" s="20" t="n">
        <v>242.57</v>
      </c>
      <c r="I11" s="20" t="n">
        <v>242.57</v>
      </c>
      <c r="J11" s="20" t="n">
        <v>0</v>
      </c>
      <c r="K11" s="20" t="n">
        <v>0</v>
      </c>
      <c r="L11" s="20" t="n">
        <v>250.48</v>
      </c>
      <c r="M11" s="20" t="n">
        <v>0</v>
      </c>
      <c r="N11" s="20" t="n">
        <v>0</v>
      </c>
      <c r="O11" s="20" t="n">
        <v>234.65</v>
      </c>
      <c r="P11" s="20" t="n">
        <v>0</v>
      </c>
      <c r="Q11" s="20" t="n">
        <v>-234.65</v>
      </c>
      <c r="R11" s="21" t="n">
        <v>-1</v>
      </c>
    </row>
    <row r="12">
      <c r="A12" s="19" t="inlineStr">
        <is>
          <t>IE01MB</t>
        </is>
      </c>
      <c r="B12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C12" s="20" t="n">
        <v>300.97</v>
      </c>
      <c r="D12" s="21" t="n">
        <v>0.002163445373206224</v>
      </c>
      <c r="E12" s="19" t="n">
        <v>28</v>
      </c>
      <c r="F12" s="19" t="n">
        <v>25</v>
      </c>
      <c r="G12" s="19" t="n">
        <v>25</v>
      </c>
      <c r="H12" s="20" t="n">
        <v>12.04</v>
      </c>
      <c r="I12" s="20" t="n">
        <v>10.75</v>
      </c>
      <c r="J12" s="20" t="n">
        <v>215.94</v>
      </c>
      <c r="K12" s="20" t="n">
        <v>50.27</v>
      </c>
      <c r="L12" s="20" t="n">
        <v>-31.94</v>
      </c>
      <c r="M12" s="20" t="n">
        <v>15.53</v>
      </c>
      <c r="N12" s="20" t="n">
        <v>51.17</v>
      </c>
      <c r="O12" s="20" t="n">
        <v>0</v>
      </c>
      <c r="P12" s="20" t="n">
        <v>0</v>
      </c>
      <c r="Q12" s="20" t="n">
        <v>0</v>
      </c>
      <c r="R12" s="21" t="n">
        <v>0</v>
      </c>
    </row>
    <row r="13">
      <c r="A13" s="19" t="inlineStr">
        <is>
          <t>IE03CB</t>
        </is>
      </c>
      <c r="B13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C13" s="20" t="n">
        <v>142.27</v>
      </c>
      <c r="D13" s="21" t="n">
        <v>0.001022654460431046</v>
      </c>
      <c r="E13" s="19" t="n">
        <v>5</v>
      </c>
      <c r="F13" s="19" t="n">
        <v>5</v>
      </c>
      <c r="G13" s="19" t="n">
        <v>5</v>
      </c>
      <c r="H13" s="20" t="n">
        <v>28.45</v>
      </c>
      <c r="I13" s="20" t="n">
        <v>28.45</v>
      </c>
      <c r="J13" s="20" t="n">
        <v>0</v>
      </c>
      <c r="K13" s="20" t="n">
        <v>9.99</v>
      </c>
      <c r="L13" s="20" t="n">
        <v>27.46</v>
      </c>
      <c r="M13" s="20" t="n">
        <v>27.46</v>
      </c>
      <c r="N13" s="20" t="n">
        <v>0</v>
      </c>
      <c r="O13" s="20" t="n">
        <v>77.36</v>
      </c>
      <c r="P13" s="20" t="n">
        <v>0</v>
      </c>
      <c r="Q13" s="20" t="n">
        <v>-77.36</v>
      </c>
      <c r="R13" s="21" t="n">
        <v>-1</v>
      </c>
    </row>
    <row r="14">
      <c r="A14" s="19" t="inlineStr">
        <is>
          <t>GA01UN</t>
        </is>
      </c>
      <c r="B14" s="19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C14" s="20" t="n">
        <v>25.33</v>
      </c>
      <c r="D14" s="21" t="n">
        <v>0.0001820780762824091</v>
      </c>
      <c r="E14" s="19" t="n">
        <v>3</v>
      </c>
      <c r="F14" s="19" t="n">
        <v>3</v>
      </c>
      <c r="G14" s="19" t="n">
        <v>3</v>
      </c>
      <c r="H14" s="20" t="n">
        <v>8.44</v>
      </c>
      <c r="I14" s="20" t="n">
        <v>8.44</v>
      </c>
      <c r="J14" s="20" t="n">
        <v>26.08</v>
      </c>
      <c r="K14" s="20" t="n">
        <v>0</v>
      </c>
      <c r="L14" s="20" t="n">
        <v>0</v>
      </c>
      <c r="M14" s="20" t="n">
        <v>-2.98</v>
      </c>
      <c r="N14" s="20" t="n">
        <v>0</v>
      </c>
      <c r="O14" s="20" t="n">
        <v>0</v>
      </c>
      <c r="P14" s="20" t="n">
        <v>2.24</v>
      </c>
      <c r="Q14" s="20" t="n">
        <v>2.24</v>
      </c>
      <c r="R14" s="21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5" t="inlineStr">
        <is>
          <t>周期</t>
        </is>
      </c>
      <c r="B1" s="5" t="inlineStr">
        <is>
          <t>SKU</t>
        </is>
      </c>
      <c r="C1" s="5" t="inlineStr">
        <is>
          <t>商品名称</t>
        </is>
      </c>
      <c r="D1" s="5" t="inlineStr">
        <is>
          <t>GMV</t>
        </is>
      </c>
      <c r="E1" s="5" t="inlineStr">
        <is>
          <t>GMV占比</t>
        </is>
      </c>
      <c r="F1" s="5" t="inlineStr">
        <is>
          <t>销量</t>
        </is>
      </c>
      <c r="G1" s="5" t="inlineStr">
        <is>
          <t>订单数</t>
        </is>
      </c>
      <c r="H1" s="5" t="inlineStr">
        <is>
          <t>订单行数</t>
        </is>
      </c>
      <c r="I1" s="5" t="inlineStr">
        <is>
          <t>客单价</t>
        </is>
      </c>
      <c r="J1" s="5" t="inlineStr">
        <is>
          <t>件单价</t>
        </is>
      </c>
      <c r="K1" s="5" t="inlineStr">
        <is>
          <t>base</t>
        </is>
      </c>
      <c r="L1" s="5" t="inlineStr">
        <is>
          <t>shipping</t>
        </is>
      </c>
    </row>
    <row r="2">
      <c r="A2" s="19" t="inlineStr">
        <is>
          <t>5.1-5.7</t>
        </is>
      </c>
      <c r="B2" s="19" t="inlineStr">
        <is>
          <t>BS-01</t>
        </is>
      </c>
      <c r="C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2" s="20" t="n">
        <v>6594.46</v>
      </c>
      <c r="E2" s="21" t="n">
        <v>0.6268722454941703</v>
      </c>
      <c r="F2" s="19" t="n">
        <v>26</v>
      </c>
      <c r="G2" s="19" t="n">
        <v>26</v>
      </c>
      <c r="H2" s="19" t="n">
        <v>26</v>
      </c>
      <c r="I2" s="20" t="n">
        <v>253.63</v>
      </c>
      <c r="J2" s="20" t="n">
        <v>253.63</v>
      </c>
      <c r="K2" s="20" t="n">
        <v>7074</v>
      </c>
      <c r="L2" s="20" t="n">
        <v>0</v>
      </c>
    </row>
    <row r="3">
      <c r="A3" s="19" t="inlineStr">
        <is>
          <t>5.1-5.7</t>
        </is>
      </c>
      <c r="B3" s="19" t="inlineStr">
        <is>
          <t>BS-09</t>
        </is>
      </c>
      <c r="C3" s="19" t="inlineStr">
        <is>
          <t>Altavoz de barra para PC con iluminación RGB, sonido de alta fidelidad y múltiples conexiones: Bluetooth, radio FM, USB, TF, AUX y TWS. Ideal para juegos, reuniones y cine en casa.</t>
        </is>
      </c>
      <c r="D3" s="20" t="n">
        <v>1325.32</v>
      </c>
      <c r="E3" s="21" t="n">
        <v>0.1259858975613528</v>
      </c>
      <c r="F3" s="19" t="n">
        <v>10</v>
      </c>
      <c r="G3" s="19" t="n">
        <v>8</v>
      </c>
      <c r="H3" s="19" t="n">
        <v>8</v>
      </c>
      <c r="I3" s="20" t="n">
        <v>165.67</v>
      </c>
      <c r="J3" s="20" t="n">
        <v>132.53</v>
      </c>
      <c r="K3" s="20" t="n">
        <v>1335</v>
      </c>
      <c r="L3" s="20" t="n">
        <v>155.16</v>
      </c>
    </row>
    <row r="4">
      <c r="A4" s="19" t="inlineStr">
        <is>
          <t>5.1-5.7</t>
        </is>
      </c>
      <c r="B4" s="19" t="inlineStr">
        <is>
          <t>PW01CB</t>
        </is>
      </c>
      <c r="C4" s="19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D4" s="20" t="n">
        <v>610.92</v>
      </c>
      <c r="E4" s="21" t="n">
        <v>0.05807396752474332</v>
      </c>
      <c r="F4" s="19" t="n">
        <v>5</v>
      </c>
      <c r="G4" s="19" t="n">
        <v>1</v>
      </c>
      <c r="H4" s="19" t="n">
        <v>1</v>
      </c>
      <c r="I4" s="20" t="n">
        <v>610.92</v>
      </c>
      <c r="J4" s="20" t="n">
        <v>122.18</v>
      </c>
      <c r="K4" s="20" t="n">
        <v>600</v>
      </c>
      <c r="L4" s="20" t="n">
        <v>0</v>
      </c>
    </row>
    <row r="5">
      <c r="A5" s="19" t="inlineStr">
        <is>
          <t>5.1-5.7</t>
        </is>
      </c>
      <c r="B5" s="19" t="inlineStr">
        <is>
          <t>PW01CN</t>
        </is>
      </c>
      <c r="C5" s="19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D5" s="20" t="n">
        <v>610.92</v>
      </c>
      <c r="E5" s="21" t="n">
        <v>0.05807396752474332</v>
      </c>
      <c r="F5" s="19" t="n">
        <v>5</v>
      </c>
      <c r="G5" s="19" t="n">
        <v>1</v>
      </c>
      <c r="H5" s="19" t="n">
        <v>1</v>
      </c>
      <c r="I5" s="20" t="n">
        <v>610.92</v>
      </c>
      <c r="J5" s="20" t="n">
        <v>122.18</v>
      </c>
      <c r="K5" s="20" t="n">
        <v>600</v>
      </c>
      <c r="L5" s="20" t="n">
        <v>0</v>
      </c>
    </row>
    <row r="6">
      <c r="A6" s="19" t="inlineStr">
        <is>
          <t>5.1-5.7</t>
        </is>
      </c>
      <c r="B6" s="19" t="inlineStr">
        <is>
          <t>BS-07G</t>
        </is>
      </c>
      <c r="C6" s="19" t="inlineStr">
        <is>
          <t>Altavoz Inalámbrico Portátil con Diseño Retro, Bajos Optimizados y Sonido 3D Envolvente,Compatible con TF/FM/AUX, Conexión BT TWS. Ideal para Home Theater, Fiestas y Regalos​</t>
        </is>
      </c>
      <c r="D6" s="20" t="n">
        <v>493.01</v>
      </c>
      <c r="E6" s="21" t="n">
        <v>0.0468653908787682</v>
      </c>
      <c r="F6" s="19" t="n">
        <v>4</v>
      </c>
      <c r="G6" s="19" t="n">
        <v>2</v>
      </c>
      <c r="H6" s="19" t="n">
        <v>2</v>
      </c>
      <c r="I6" s="20" t="n">
        <v>246.5</v>
      </c>
      <c r="J6" s="20" t="n">
        <v>123.25</v>
      </c>
      <c r="K6" s="20" t="n">
        <v>528</v>
      </c>
      <c r="L6" s="20" t="n">
        <v>0</v>
      </c>
    </row>
    <row r="7">
      <c r="A7" s="19" t="inlineStr">
        <is>
          <t>5.1-5.7</t>
        </is>
      </c>
      <c r="B7" s="19" t="inlineStr">
        <is>
          <t>S-10302</t>
        </is>
      </c>
      <c r="C7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D7" s="20" t="n">
        <v>476.84</v>
      </c>
      <c r="E7" s="21" t="n">
        <v>0.04532907220649279</v>
      </c>
      <c r="F7" s="19" t="n">
        <v>8</v>
      </c>
      <c r="G7" s="19" t="n">
        <v>8</v>
      </c>
      <c r="H7" s="19" t="n">
        <v>8</v>
      </c>
      <c r="I7" s="20" t="n">
        <v>59.61</v>
      </c>
      <c r="J7" s="20" t="n">
        <v>59.61</v>
      </c>
      <c r="K7" s="20" t="n">
        <v>492.04</v>
      </c>
      <c r="L7" s="20" t="n">
        <v>206.88</v>
      </c>
    </row>
    <row r="8">
      <c r="A8" s="19" t="inlineStr">
        <is>
          <t>5.1-5.7</t>
        </is>
      </c>
      <c r="B8" s="19" t="inlineStr">
        <is>
          <t>IE01MB</t>
        </is>
      </c>
      <c r="C8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8" s="20" t="n">
        <v>215.94</v>
      </c>
      <c r="E8" s="21" t="n">
        <v>0.02052688672224265</v>
      </c>
      <c r="F8" s="19" t="n">
        <v>13</v>
      </c>
      <c r="G8" s="19" t="n">
        <v>10</v>
      </c>
      <c r="H8" s="19" t="n">
        <v>10</v>
      </c>
      <c r="I8" s="20" t="n">
        <v>21.59</v>
      </c>
      <c r="J8" s="20" t="n">
        <v>16.61</v>
      </c>
      <c r="K8" s="20" t="n">
        <v>272.2</v>
      </c>
      <c r="L8" s="20" t="n">
        <v>258.6</v>
      </c>
    </row>
    <row r="9">
      <c r="A9" s="19" t="inlineStr">
        <is>
          <t>5.1-5.7</t>
        </is>
      </c>
      <c r="B9" s="19" t="inlineStr">
        <is>
          <t>IE03CN</t>
        </is>
      </c>
      <c r="C9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9" s="20" t="n">
        <v>166.15</v>
      </c>
      <c r="E9" s="21" t="n">
        <v>0.01579384836386886</v>
      </c>
      <c r="F9" s="19" t="n">
        <v>5</v>
      </c>
      <c r="G9" s="19" t="n">
        <v>5</v>
      </c>
      <c r="H9" s="19" t="n">
        <v>5</v>
      </c>
      <c r="I9" s="20" t="n">
        <v>33.23</v>
      </c>
      <c r="J9" s="20" t="n">
        <v>33.23</v>
      </c>
      <c r="K9" s="20" t="n">
        <v>180</v>
      </c>
      <c r="L9" s="20" t="n">
        <v>129.3</v>
      </c>
    </row>
    <row r="10">
      <c r="A10" s="19" t="inlineStr">
        <is>
          <t>5.1-5.7</t>
        </is>
      </c>
      <c r="B10" s="19" t="inlineStr">
        <is>
          <t>GA01UN</t>
        </is>
      </c>
      <c r="C10" s="19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D10" s="20" t="n">
        <v>26.08</v>
      </c>
      <c r="E10" s="21" t="n">
        <v>0.002478723723617816</v>
      </c>
      <c r="F10" s="19" t="n">
        <v>1</v>
      </c>
      <c r="G10" s="19" t="n">
        <v>1</v>
      </c>
      <c r="H10" s="19" t="n">
        <v>1</v>
      </c>
      <c r="I10" s="20" t="n">
        <v>26.08</v>
      </c>
      <c r="J10" s="20" t="n">
        <v>26.08</v>
      </c>
      <c r="K10" s="20" t="n">
        <v>32</v>
      </c>
      <c r="L10" s="20" t="n">
        <v>25.86</v>
      </c>
    </row>
    <row r="11">
      <c r="A11" s="19" t="inlineStr">
        <is>
          <t>5.8-5.14</t>
        </is>
      </c>
      <c r="B11" s="19" t="inlineStr">
        <is>
          <t>BS-01</t>
        </is>
      </c>
      <c r="C1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11" s="20" t="n">
        <v>20584.59</v>
      </c>
      <c r="E11" s="21" t="n">
        <v>0.8771807095563268</v>
      </c>
      <c r="F11" s="19" t="n">
        <v>91</v>
      </c>
      <c r="G11" s="19" t="n">
        <v>88</v>
      </c>
      <c r="H11" s="19" t="n">
        <v>88</v>
      </c>
      <c r="I11" s="20" t="n">
        <v>233.92</v>
      </c>
      <c r="J11" s="20" t="n">
        <v>226.2</v>
      </c>
      <c r="K11" s="20" t="n">
        <v>20009</v>
      </c>
      <c r="L11" s="20" t="n">
        <v>2094.66</v>
      </c>
    </row>
    <row r="12">
      <c r="A12" s="19" t="inlineStr">
        <is>
          <t>5.8-5.14</t>
        </is>
      </c>
      <c r="B12" s="19" t="inlineStr">
        <is>
          <t>BS-09</t>
        </is>
      </c>
      <c r="C12" s="19" t="inlineStr">
        <is>
          <t>Altavoz de barra para PC con iluminación RGB, sonido de alta fidelidad y múltiples conexiones: Bluetooth, radio FM, USB, TF, AUX y TWS. Ideal para juegos, reuniones y cine en casa.</t>
        </is>
      </c>
      <c r="D12" s="20" t="n">
        <v>1972.33</v>
      </c>
      <c r="E12" s="21" t="n">
        <v>0.08404800361580293</v>
      </c>
      <c r="F12" s="19" t="n">
        <v>17</v>
      </c>
      <c r="G12" s="19" t="n">
        <v>14</v>
      </c>
      <c r="H12" s="19" t="n">
        <v>14</v>
      </c>
      <c r="I12" s="20" t="n">
        <v>140.88</v>
      </c>
      <c r="J12" s="20" t="n">
        <v>116.02</v>
      </c>
      <c r="K12" s="20" t="n">
        <v>2051.62</v>
      </c>
      <c r="L12" s="20" t="n">
        <v>232.74</v>
      </c>
    </row>
    <row r="13">
      <c r="A13" s="19" t="inlineStr">
        <is>
          <t>5.8-5.14</t>
        </is>
      </c>
      <c r="B13" s="19" t="inlineStr">
        <is>
          <t>S-10302</t>
        </is>
      </c>
      <c r="C13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D13" s="20" t="n">
        <v>490.63</v>
      </c>
      <c r="E13" s="21" t="n">
        <v>0.02090739339042105</v>
      </c>
      <c r="F13" s="19" t="n">
        <v>8</v>
      </c>
      <c r="G13" s="19" t="n">
        <v>8</v>
      </c>
      <c r="H13" s="19" t="n">
        <v>8</v>
      </c>
      <c r="I13" s="20" t="n">
        <v>61.33</v>
      </c>
      <c r="J13" s="20" t="n">
        <v>61.33</v>
      </c>
      <c r="K13" s="20" t="n">
        <v>501.36</v>
      </c>
      <c r="L13" s="20" t="n">
        <v>206.88</v>
      </c>
    </row>
    <row r="14">
      <c r="A14" s="19" t="inlineStr">
        <is>
          <t>5.8-5.14</t>
        </is>
      </c>
      <c r="B14" s="19" t="inlineStr">
        <is>
          <t>IE03CN</t>
        </is>
      </c>
      <c r="C14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14" s="20" t="n">
        <v>224.62</v>
      </c>
      <c r="E14" s="21" t="n">
        <v>0.009571949702348414</v>
      </c>
      <c r="F14" s="19" t="n">
        <v>8</v>
      </c>
      <c r="G14" s="19" t="n">
        <v>5</v>
      </c>
      <c r="H14" s="19" t="n">
        <v>5</v>
      </c>
      <c r="I14" s="20" t="n">
        <v>44.92</v>
      </c>
      <c r="J14" s="20" t="n">
        <v>28.08</v>
      </c>
      <c r="K14" s="20" t="n">
        <v>260</v>
      </c>
      <c r="L14" s="20" t="n">
        <v>103.44</v>
      </c>
    </row>
    <row r="15">
      <c r="A15" s="19" t="inlineStr">
        <is>
          <t>5.8-5.14</t>
        </is>
      </c>
      <c r="B15" s="19" t="inlineStr">
        <is>
          <t>BS-07V</t>
        </is>
      </c>
      <c r="C15" s="19" t="inlineStr">
        <is>
          <t>Altavoz Inalámbrico Portátil con Diseño Retro, Bajos Optimizados y Sonido 3D Envolvente,Compatible con TF/FM/AUX, Conexión BT TWS. Ideal para Home Theater, Fiestas y Regalos​</t>
        </is>
      </c>
      <c r="D15" s="20" t="n">
        <v>134.33</v>
      </c>
      <c r="E15" s="21" t="n">
        <v>0.005724125015336584</v>
      </c>
      <c r="F15" s="19" t="n">
        <v>1</v>
      </c>
      <c r="G15" s="19" t="n">
        <v>1</v>
      </c>
      <c r="H15" s="19" t="n">
        <v>1</v>
      </c>
      <c r="I15" s="20" t="n">
        <v>134.33</v>
      </c>
      <c r="J15" s="20" t="n">
        <v>134.33</v>
      </c>
      <c r="K15" s="20" t="n">
        <v>132</v>
      </c>
      <c r="L15" s="20" t="n">
        <v>25.86</v>
      </c>
    </row>
    <row r="16">
      <c r="A16" s="19" t="inlineStr">
        <is>
          <t>5.8-5.14</t>
        </is>
      </c>
      <c r="B16" s="19" t="inlineStr">
        <is>
          <t>IE01MB</t>
        </is>
      </c>
      <c r="C16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16" s="20" t="n">
        <v>50.27</v>
      </c>
      <c r="E16" s="21" t="n">
        <v>0.002142020798980494</v>
      </c>
      <c r="F16" s="19" t="n">
        <v>3</v>
      </c>
      <c r="G16" s="19" t="n">
        <v>3</v>
      </c>
      <c r="H16" s="19" t="n">
        <v>3</v>
      </c>
      <c r="I16" s="20" t="n">
        <v>16.76</v>
      </c>
      <c r="J16" s="20" t="n">
        <v>16.76</v>
      </c>
      <c r="K16" s="20" t="n">
        <v>61.4</v>
      </c>
      <c r="L16" s="20" t="n">
        <v>77.58</v>
      </c>
    </row>
    <row r="17">
      <c r="A17" s="19" t="inlineStr">
        <is>
          <t>5.8-5.14</t>
        </is>
      </c>
      <c r="B17" s="19" t="inlineStr">
        <is>
          <t>IE03CB</t>
        </is>
      </c>
      <c r="C17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17" s="20" t="n">
        <v>9.99</v>
      </c>
      <c r="E17" s="21" t="n">
        <v>0.0004257979207837655</v>
      </c>
      <c r="F17" s="19" t="n">
        <v>1</v>
      </c>
      <c r="G17" s="19" t="n">
        <v>1</v>
      </c>
      <c r="H17" s="19" t="n">
        <v>1</v>
      </c>
      <c r="I17" s="20" t="n">
        <v>9.99</v>
      </c>
      <c r="J17" s="20" t="n">
        <v>9.99</v>
      </c>
      <c r="K17" s="20" t="n">
        <v>40</v>
      </c>
      <c r="L17" s="20" t="n">
        <v>0</v>
      </c>
    </row>
    <row r="18">
      <c r="A18" s="19" t="inlineStr">
        <is>
          <t>5.15-5.21</t>
        </is>
      </c>
      <c r="B18" s="19" t="inlineStr">
        <is>
          <t>BS-01</t>
        </is>
      </c>
      <c r="C1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18" s="20" t="n">
        <v>24101.56</v>
      </c>
      <c r="E18" s="21" t="n">
        <v>0.8833718288417957</v>
      </c>
      <c r="F18" s="19" t="n">
        <v>108</v>
      </c>
      <c r="G18" s="19" t="n">
        <v>101</v>
      </c>
      <c r="H18" s="19" t="n">
        <v>101</v>
      </c>
      <c r="I18" s="20" t="n">
        <v>238.63</v>
      </c>
      <c r="J18" s="20" t="n">
        <v>223.16</v>
      </c>
      <c r="K18" s="20" t="n">
        <v>23488</v>
      </c>
      <c r="L18" s="20" t="n">
        <v>2301.54</v>
      </c>
    </row>
    <row r="19">
      <c r="A19" s="19" t="inlineStr">
        <is>
          <t>5.15-5.21</t>
        </is>
      </c>
      <c r="B19" s="19" t="inlineStr">
        <is>
          <t>BS-09</t>
        </is>
      </c>
      <c r="C19" s="19" t="inlineStr">
        <is>
          <t>Altavoz de barra para PC con iluminación RGB, sonido de alta fidelidad y múltiples conexiones: Bluetooth, radio FM, USB, TF, AUX y TWS. Ideal para juegos, reuniones y cine en casa.</t>
        </is>
      </c>
      <c r="D19" s="20" t="n">
        <v>2215.14</v>
      </c>
      <c r="E19" s="21" t="n">
        <v>0.08118933596881209</v>
      </c>
      <c r="F19" s="19" t="n">
        <v>19</v>
      </c>
      <c r="G19" s="19" t="n">
        <v>17</v>
      </c>
      <c r="H19" s="19" t="n">
        <v>17</v>
      </c>
      <c r="I19" s="20" t="n">
        <v>130.3</v>
      </c>
      <c r="J19" s="20" t="n">
        <v>116.59</v>
      </c>
      <c r="K19" s="20" t="n">
        <v>2209.89</v>
      </c>
      <c r="L19" s="20" t="n">
        <v>387.9</v>
      </c>
    </row>
    <row r="20">
      <c r="A20" s="19" t="inlineStr">
        <is>
          <t>5.15-5.21</t>
        </is>
      </c>
      <c r="B20" s="19" t="inlineStr">
        <is>
          <t>S-10302</t>
        </is>
      </c>
      <c r="C20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D20" s="20" t="n">
        <v>371.29</v>
      </c>
      <c r="E20" s="21" t="n">
        <v>0.01360860290612187</v>
      </c>
      <c r="F20" s="19" t="n">
        <v>6</v>
      </c>
      <c r="G20" s="19" t="n">
        <v>6</v>
      </c>
      <c r="H20" s="19" t="n">
        <v>6</v>
      </c>
      <c r="I20" s="20" t="n">
        <v>61.88</v>
      </c>
      <c r="J20" s="20" t="n">
        <v>61.88</v>
      </c>
      <c r="K20" s="20" t="n">
        <v>380.68</v>
      </c>
      <c r="L20" s="20" t="n">
        <v>155.16</v>
      </c>
    </row>
    <row r="21">
      <c r="A21" s="19" t="inlineStr">
        <is>
          <t>5.15-5.21</t>
        </is>
      </c>
      <c r="B21" s="19" t="inlineStr">
        <is>
          <t>BS-07AM</t>
        </is>
      </c>
      <c r="C21" s="19" t="inlineStr">
        <is>
          <t>Altavoz Inalámbrico Portátil con Diseño Retro, Bajos Optimizados y Sonido 3D Envolvente,Compatible con TF/FM/AUX, Conexión BT TWS. Ideal para Home Theater, Fiestas y Regalos​</t>
        </is>
      </c>
      <c r="D21" s="20" t="n">
        <v>275.78</v>
      </c>
      <c r="E21" s="21" t="n">
        <v>0.01010785813163161</v>
      </c>
      <c r="F21" s="19" t="n">
        <v>2</v>
      </c>
      <c r="G21" s="19" t="n">
        <v>2</v>
      </c>
      <c r="H21" s="19" t="n">
        <v>2</v>
      </c>
      <c r="I21" s="20" t="n">
        <v>137.89</v>
      </c>
      <c r="J21" s="20" t="n">
        <v>137.89</v>
      </c>
      <c r="K21" s="20" t="n">
        <v>270</v>
      </c>
      <c r="L21" s="20" t="n">
        <v>51.72</v>
      </c>
    </row>
    <row r="22">
      <c r="A22" s="19" t="inlineStr">
        <is>
          <t>5.15-5.21</t>
        </is>
      </c>
      <c r="B22" s="19" t="inlineStr">
        <is>
          <t>S-10012N</t>
        </is>
      </c>
      <c r="C22" s="19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D22" s="20" t="n">
        <v>250.48</v>
      </c>
      <c r="E22" s="21" t="n">
        <v>0.00918057194755416</v>
      </c>
      <c r="F22" s="19" t="n">
        <v>1</v>
      </c>
      <c r="G22" s="19" t="n">
        <v>1</v>
      </c>
      <c r="H22" s="19" t="n">
        <v>1</v>
      </c>
      <c r="I22" s="20" t="n">
        <v>250.48</v>
      </c>
      <c r="J22" s="20" t="n">
        <v>250.48</v>
      </c>
      <c r="K22" s="20" t="n">
        <v>265</v>
      </c>
      <c r="L22" s="20" t="n">
        <v>0</v>
      </c>
    </row>
    <row r="23">
      <c r="A23" s="19" t="inlineStr">
        <is>
          <t>5.15-5.21</t>
        </is>
      </c>
      <c r="B23" s="19" t="inlineStr">
        <is>
          <t>IE03CN</t>
        </is>
      </c>
      <c r="C23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23" s="20" t="n">
        <v>73.83</v>
      </c>
      <c r="E23" s="21" t="n">
        <v>0.002705871496384681</v>
      </c>
      <c r="F23" s="19" t="n">
        <v>3</v>
      </c>
      <c r="G23" s="19" t="n">
        <v>3</v>
      </c>
      <c r="H23" s="19" t="n">
        <v>3</v>
      </c>
      <c r="I23" s="20" t="n">
        <v>24.61</v>
      </c>
      <c r="J23" s="20" t="n">
        <v>24.61</v>
      </c>
      <c r="K23" s="20" t="n">
        <v>110</v>
      </c>
      <c r="L23" s="20" t="n">
        <v>51.72</v>
      </c>
    </row>
    <row r="24">
      <c r="A24" s="19" t="inlineStr">
        <is>
          <t>5.15-5.21</t>
        </is>
      </c>
      <c r="B24" s="19" t="inlineStr">
        <is>
          <t>IE03CB</t>
        </is>
      </c>
      <c r="C24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24" s="20" t="n">
        <v>27.46</v>
      </c>
      <c r="E24" s="21" t="n">
        <v>0.001006436312913574</v>
      </c>
      <c r="F24" s="19" t="n">
        <v>1</v>
      </c>
      <c r="G24" s="19" t="n">
        <v>1</v>
      </c>
      <c r="H24" s="19" t="n">
        <v>1</v>
      </c>
      <c r="I24" s="20" t="n">
        <v>27.46</v>
      </c>
      <c r="J24" s="20" t="n">
        <v>27.46</v>
      </c>
      <c r="K24" s="20" t="n">
        <v>30</v>
      </c>
      <c r="L24" s="20" t="n">
        <v>25.86</v>
      </c>
    </row>
    <row r="25">
      <c r="A25" s="19" t="inlineStr">
        <is>
          <t>5.15-5.21</t>
        </is>
      </c>
      <c r="B25" s="19" t="inlineStr">
        <is>
          <t>IE01MB</t>
        </is>
      </c>
      <c r="C25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25" s="20" t="n">
        <v>-31.94</v>
      </c>
      <c r="E25" s="21" t="n">
        <v>-0.001170505605213653</v>
      </c>
      <c r="F25" s="19" t="n">
        <v>5</v>
      </c>
      <c r="G25" s="19" t="n">
        <v>5</v>
      </c>
      <c r="H25" s="19" t="n">
        <v>5</v>
      </c>
      <c r="I25" s="20" t="n">
        <v>-6.39</v>
      </c>
      <c r="J25" s="20" t="n">
        <v>-6.39</v>
      </c>
      <c r="K25" s="20" t="n">
        <v>96.2</v>
      </c>
      <c r="L25" s="20" t="n">
        <v>25.86</v>
      </c>
    </row>
    <row r="26">
      <c r="A26" s="19" t="inlineStr">
        <is>
          <t>5.22-5.28</t>
        </is>
      </c>
      <c r="B26" s="19" t="inlineStr">
        <is>
          <t>BS-01</t>
        </is>
      </c>
      <c r="C2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26" s="20" t="n">
        <v>23719.43</v>
      </c>
      <c r="E26" s="21" t="n">
        <v>0.883247450776339</v>
      </c>
      <c r="F26" s="19" t="n">
        <v>106</v>
      </c>
      <c r="G26" s="19" t="n">
        <v>101</v>
      </c>
      <c r="H26" s="19" t="n">
        <v>101</v>
      </c>
      <c r="I26" s="20" t="n">
        <v>234.85</v>
      </c>
      <c r="J26" s="20" t="n">
        <v>223.77</v>
      </c>
      <c r="K26" s="20" t="n">
        <v>23046</v>
      </c>
      <c r="L26" s="20" t="n">
        <v>2379.12</v>
      </c>
    </row>
    <row r="27">
      <c r="A27" s="19" t="inlineStr">
        <is>
          <t>5.22-5.28</t>
        </is>
      </c>
      <c r="B27" s="19" t="inlineStr">
        <is>
          <t>BS-09</t>
        </is>
      </c>
      <c r="C27" s="19" t="inlineStr">
        <is>
          <t>Altavoz de barra para PC con iluminación RGB, sonido de alta fidelidad y múltiples conexiones: Bluetooth, radio FM, USB, TF, AUX y TWS. Ideal para juegos, reuniones y cine en casa.</t>
        </is>
      </c>
      <c r="D27" s="20" t="n">
        <v>2407.28</v>
      </c>
      <c r="E27" s="21" t="n">
        <v>0.08964071162937819</v>
      </c>
      <c r="F27" s="19" t="n">
        <v>21</v>
      </c>
      <c r="G27" s="19" t="n">
        <v>16</v>
      </c>
      <c r="H27" s="19" t="n">
        <v>16</v>
      </c>
      <c r="I27" s="20" t="n">
        <v>150.46</v>
      </c>
      <c r="J27" s="20" t="n">
        <v>114.63</v>
      </c>
      <c r="K27" s="20" t="n">
        <v>2462.84</v>
      </c>
      <c r="L27" s="20" t="n">
        <v>284.46</v>
      </c>
    </row>
    <row r="28">
      <c r="A28" s="19" t="inlineStr">
        <is>
          <t>5.22-5.28</t>
        </is>
      </c>
      <c r="B28" s="19" t="inlineStr">
        <is>
          <t>S-10302</t>
        </is>
      </c>
      <c r="C28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D28" s="20" t="n">
        <v>349.96</v>
      </c>
      <c r="E28" s="21" t="n">
        <v>0.0130314128090391</v>
      </c>
      <c r="F28" s="19" t="n">
        <v>6</v>
      </c>
      <c r="G28" s="19" t="n">
        <v>6</v>
      </c>
      <c r="H28" s="19" t="n">
        <v>6</v>
      </c>
      <c r="I28" s="20" t="n">
        <v>58.33</v>
      </c>
      <c r="J28" s="20" t="n">
        <v>58.33</v>
      </c>
      <c r="K28" s="20" t="n">
        <v>380.68</v>
      </c>
      <c r="L28" s="20" t="n">
        <v>129.3</v>
      </c>
    </row>
    <row r="29">
      <c r="A29" s="19" t="inlineStr">
        <is>
          <t>5.22-5.28</t>
        </is>
      </c>
      <c r="B29" s="19" t="inlineStr">
        <is>
          <t>BS-07V</t>
        </is>
      </c>
      <c r="C29" s="19" t="inlineStr">
        <is>
          <t>Altavoz Inalámbrico Portátil con Diseño Retro, Bajos Optimizados y Sonido 3D Envolvente,Compatible con TF/FM/AUX, Conexión BT TWS. Ideal para Home Theater, Fiestas y Regalos​</t>
        </is>
      </c>
      <c r="D29" s="20" t="n">
        <v>138.73</v>
      </c>
      <c r="E29" s="21" t="n">
        <v>0.005166105633990446</v>
      </c>
      <c r="F29" s="19" t="n">
        <v>1</v>
      </c>
      <c r="G29" s="19" t="n">
        <v>1</v>
      </c>
      <c r="H29" s="19" t="n">
        <v>1</v>
      </c>
      <c r="I29" s="20" t="n">
        <v>138.73</v>
      </c>
      <c r="J29" s="20" t="n">
        <v>138.73</v>
      </c>
      <c r="K29" s="20" t="n">
        <v>135</v>
      </c>
      <c r="L29" s="20" t="n">
        <v>25.86</v>
      </c>
    </row>
    <row r="30">
      <c r="A30" s="19" t="inlineStr">
        <is>
          <t>5.22-5.28</t>
        </is>
      </c>
      <c r="B30" s="19" t="inlineStr">
        <is>
          <t>BS-07AM</t>
        </is>
      </c>
      <c r="C30" s="19" t="inlineStr">
        <is>
          <t>Altavoz Inalámbrico Portátil con Diseño Retro, Bajos Optimizados y Sonido 3D Envolvente,Compatible con TF/FM/AUX, Conexión BT TWS. Ideal para Home Theater, Fiestas y Regalos​</t>
        </is>
      </c>
      <c r="D30" s="20" t="n">
        <v>133.91</v>
      </c>
      <c r="E30" s="21" t="n">
        <v>0.004986541788154133</v>
      </c>
      <c r="F30" s="19" t="n">
        <v>1</v>
      </c>
      <c r="G30" s="19" t="n">
        <v>1</v>
      </c>
      <c r="H30" s="19" t="n">
        <v>1</v>
      </c>
      <c r="I30" s="20" t="n">
        <v>133.91</v>
      </c>
      <c r="J30" s="20" t="n">
        <v>133.91</v>
      </c>
      <c r="K30" s="20" t="n">
        <v>132</v>
      </c>
      <c r="L30" s="20" t="n">
        <v>25.86</v>
      </c>
    </row>
    <row r="31">
      <c r="A31" s="19" t="inlineStr">
        <is>
          <t>5.22-5.28</t>
        </is>
      </c>
      <c r="B31" s="19" t="inlineStr">
        <is>
          <t>IE03CN</t>
        </is>
      </c>
      <c r="C31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31" s="20" t="n">
        <v>65.47</v>
      </c>
      <c r="E31" s="21" t="n">
        <v>0.002437907407480158</v>
      </c>
      <c r="F31" s="19" t="n">
        <v>2</v>
      </c>
      <c r="G31" s="19" t="n">
        <v>2</v>
      </c>
      <c r="H31" s="19" t="n">
        <v>2</v>
      </c>
      <c r="I31" s="20" t="n">
        <v>32.73</v>
      </c>
      <c r="J31" s="20" t="n">
        <v>32.73</v>
      </c>
      <c r="K31" s="20" t="n">
        <v>70</v>
      </c>
      <c r="L31" s="20" t="n">
        <v>51.72</v>
      </c>
    </row>
    <row r="32">
      <c r="A32" s="19" t="inlineStr">
        <is>
          <t>5.22-5.28</t>
        </is>
      </c>
      <c r="B32" s="19" t="inlineStr">
        <is>
          <t>IE03CB</t>
        </is>
      </c>
      <c r="C32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32" s="20" t="n">
        <v>27.46</v>
      </c>
      <c r="E32" s="21" t="n">
        <v>0.001022526946632451</v>
      </c>
      <c r="F32" s="19" t="n">
        <v>1</v>
      </c>
      <c r="G32" s="19" t="n">
        <v>1</v>
      </c>
      <c r="H32" s="19" t="n">
        <v>1</v>
      </c>
      <c r="I32" s="20" t="n">
        <v>27.46</v>
      </c>
      <c r="J32" s="20" t="n">
        <v>27.46</v>
      </c>
      <c r="K32" s="20" t="n">
        <v>30</v>
      </c>
      <c r="L32" s="20" t="n">
        <v>25.86</v>
      </c>
    </row>
    <row r="33">
      <c r="A33" s="19" t="inlineStr">
        <is>
          <t>5.22-5.28</t>
        </is>
      </c>
      <c r="B33" s="19" t="inlineStr">
        <is>
          <t>IE01MB</t>
        </is>
      </c>
      <c r="C33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33" s="20" t="n">
        <v>15.53</v>
      </c>
      <c r="E33" s="21" t="n">
        <v>0.0005784814543444541</v>
      </c>
      <c r="F33" s="19" t="n">
        <v>4</v>
      </c>
      <c r="G33" s="19" t="n">
        <v>4</v>
      </c>
      <c r="H33" s="19" t="n">
        <v>4</v>
      </c>
      <c r="I33" s="20" t="n">
        <v>3.88</v>
      </c>
      <c r="J33" s="20" t="n">
        <v>3.88</v>
      </c>
      <c r="K33" s="20" t="n">
        <v>83.40000000000001</v>
      </c>
      <c r="L33" s="20" t="n">
        <v>51.72</v>
      </c>
    </row>
    <row r="34">
      <c r="A34" s="19" t="inlineStr">
        <is>
          <t>5.22-5.28</t>
        </is>
      </c>
      <c r="B34" s="19" t="inlineStr">
        <is>
          <t>GA01UN</t>
        </is>
      </c>
      <c r="C34" s="19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D34" s="20" t="n">
        <v>-2.98</v>
      </c>
      <c r="E34" s="21" t="n">
        <v>-0.0001111384453579954</v>
      </c>
      <c r="F34" s="19" t="n">
        <v>1</v>
      </c>
      <c r="G34" s="19" t="n">
        <v>1</v>
      </c>
      <c r="H34" s="19" t="n">
        <v>1</v>
      </c>
      <c r="I34" s="20" t="n">
        <v>-2.98</v>
      </c>
      <c r="J34" s="20" t="n">
        <v>-2.98</v>
      </c>
      <c r="K34" s="20" t="n">
        <v>29</v>
      </c>
      <c r="L34" s="20" t="n">
        <v>0</v>
      </c>
    </row>
    <row r="35">
      <c r="A35" s="19" t="inlineStr">
        <is>
          <t>5.29-6.4</t>
        </is>
      </c>
      <c r="B35" s="19" t="inlineStr">
        <is>
          <t>BS-01</t>
        </is>
      </c>
      <c r="C3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35" s="20" t="n">
        <v>14132.17</v>
      </c>
      <c r="E35" s="21" t="n">
        <v>0.8329300279617861</v>
      </c>
      <c r="F35" s="19" t="n">
        <v>65</v>
      </c>
      <c r="G35" s="19" t="n">
        <v>62</v>
      </c>
      <c r="H35" s="19" t="n">
        <v>62</v>
      </c>
      <c r="I35" s="20" t="n">
        <v>227.94</v>
      </c>
      <c r="J35" s="20" t="n">
        <v>217.42</v>
      </c>
      <c r="K35" s="20" t="n">
        <v>14159</v>
      </c>
      <c r="L35" s="20" t="n">
        <v>1499.88</v>
      </c>
    </row>
    <row r="36">
      <c r="A36" s="19" t="inlineStr">
        <is>
          <t>5.29-6.4</t>
        </is>
      </c>
      <c r="B36" s="19" t="inlineStr">
        <is>
          <t>BS-09</t>
        </is>
      </c>
      <c r="C36" s="19" t="inlineStr">
        <is>
          <t>Altavoz de barra para PC con iluminación RGB, sonido de alta fidelidad y múltiples conexiones: Bluetooth, radio FM, USB, TF, AUX y TWS. Ideal para juegos, reuniones y cine en casa.</t>
        </is>
      </c>
      <c r="D36" s="20" t="n">
        <v>2451.9</v>
      </c>
      <c r="E36" s="21" t="n">
        <v>0.1445113709971554</v>
      </c>
      <c r="F36" s="19" t="n">
        <v>21</v>
      </c>
      <c r="G36" s="19" t="n">
        <v>19</v>
      </c>
      <c r="H36" s="19" t="n">
        <v>19</v>
      </c>
      <c r="I36" s="20" t="n">
        <v>129.05</v>
      </c>
      <c r="J36" s="20" t="n">
        <v>116.76</v>
      </c>
      <c r="K36" s="20" t="n">
        <v>2457.89</v>
      </c>
      <c r="L36" s="20" t="n">
        <v>413.76</v>
      </c>
    </row>
    <row r="37">
      <c r="A37" s="19" t="inlineStr">
        <is>
          <t>5.29-6.4</t>
        </is>
      </c>
      <c r="B37" s="19" t="inlineStr">
        <is>
          <t>BS-07V</t>
        </is>
      </c>
      <c r="C37" s="19" t="inlineStr">
        <is>
          <t>Altavoz Inalámbrico Portátil con Diseño Retro, Bajos Optimizados y Sonido 3D Envolvente,Compatible con TF/FM/AUX, Conexión BT TWS. Ideal para Home Theater, Fiestas y Regalos​</t>
        </is>
      </c>
      <c r="D37" s="20" t="n">
        <v>272.19</v>
      </c>
      <c r="E37" s="21" t="n">
        <v>0.01604275003441644</v>
      </c>
      <c r="F37" s="19" t="n">
        <v>2</v>
      </c>
      <c r="G37" s="19" t="n">
        <v>2</v>
      </c>
      <c r="H37" s="19" t="n">
        <v>2</v>
      </c>
      <c r="I37" s="20" t="n">
        <v>136.1</v>
      </c>
      <c r="J37" s="20" t="n">
        <v>136.1</v>
      </c>
      <c r="K37" s="20" t="n">
        <v>265</v>
      </c>
      <c r="L37" s="20" t="n">
        <v>51.72</v>
      </c>
    </row>
    <row r="38">
      <c r="A38" s="19" t="inlineStr">
        <is>
          <t>5.29-6.4</t>
        </is>
      </c>
      <c r="B38" s="19" t="inlineStr">
        <is>
          <t>S-10302</t>
        </is>
      </c>
      <c r="C38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D38" s="20" t="n">
        <v>59.38</v>
      </c>
      <c r="E38" s="21" t="n">
        <v>0.003499831516716298</v>
      </c>
      <c r="F38" s="19" t="n">
        <v>1</v>
      </c>
      <c r="G38" s="19" t="n">
        <v>1</v>
      </c>
      <c r="H38" s="19" t="n">
        <v>1</v>
      </c>
      <c r="I38" s="20" t="n">
        <v>59.38</v>
      </c>
      <c r="J38" s="20" t="n">
        <v>59.38</v>
      </c>
      <c r="K38" s="20" t="n">
        <v>60.34</v>
      </c>
      <c r="L38" s="20" t="n">
        <v>25.86</v>
      </c>
    </row>
    <row r="39">
      <c r="A39" s="19" t="inlineStr">
        <is>
          <t>5.29-6.4</t>
        </is>
      </c>
      <c r="B39" s="19" t="inlineStr">
        <is>
          <t>IE01MB</t>
        </is>
      </c>
      <c r="C39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39" s="20" t="n">
        <v>51.17</v>
      </c>
      <c r="E39" s="21" t="n">
        <v>0.003016019489925828</v>
      </c>
      <c r="F39" s="19" t="n">
        <v>3</v>
      </c>
      <c r="G39" s="19" t="n">
        <v>3</v>
      </c>
      <c r="H39" s="19" t="n">
        <v>3</v>
      </c>
      <c r="I39" s="20" t="n">
        <v>17.06</v>
      </c>
      <c r="J39" s="20" t="n">
        <v>17.06</v>
      </c>
      <c r="K39" s="20" t="n">
        <v>61.4</v>
      </c>
      <c r="L39" s="20" t="n">
        <v>77.58</v>
      </c>
    </row>
    <row r="40">
      <c r="A40" s="19" t="inlineStr">
        <is>
          <t>6.5-6.11</t>
        </is>
      </c>
      <c r="B40" s="19" t="inlineStr">
        <is>
          <t>BS-01</t>
        </is>
      </c>
      <c r="C4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40" s="20" t="n">
        <v>10193.69</v>
      </c>
      <c r="E40" s="21" t="n">
        <v>0.8336874323865578</v>
      </c>
      <c r="F40" s="19" t="n">
        <v>49</v>
      </c>
      <c r="G40" s="19" t="n">
        <v>47</v>
      </c>
      <c r="H40" s="19" t="n">
        <v>47</v>
      </c>
      <c r="I40" s="20" t="n">
        <v>216.89</v>
      </c>
      <c r="J40" s="20" t="n">
        <v>208.03</v>
      </c>
      <c r="K40" s="20" t="n">
        <v>10670.85</v>
      </c>
      <c r="L40" s="20" t="n">
        <v>1086.12</v>
      </c>
    </row>
    <row r="41">
      <c r="A41" s="19" t="inlineStr">
        <is>
          <t>6.5-6.11</t>
        </is>
      </c>
      <c r="B41" s="19" t="inlineStr">
        <is>
          <t>BS-09</t>
        </is>
      </c>
      <c r="C41" s="19" t="inlineStr">
        <is>
          <t>Altavoz de barra para PC con iluminación RGB, sonido de alta fidelidad y múltiples conexiones: Bluetooth, radio FM, USB, TF, AUX y TWS. Ideal para juegos, reuniones y cine en casa.</t>
        </is>
      </c>
      <c r="D41" s="20" t="n">
        <v>1543.73</v>
      </c>
      <c r="E41" s="21" t="n">
        <v>0.1262537182997252</v>
      </c>
      <c r="F41" s="19" t="n">
        <v>13</v>
      </c>
      <c r="G41" s="19" t="n">
        <v>12</v>
      </c>
      <c r="H41" s="19" t="n">
        <v>12</v>
      </c>
      <c r="I41" s="20" t="n">
        <v>128.64</v>
      </c>
      <c r="J41" s="20" t="n">
        <v>118.75</v>
      </c>
      <c r="K41" s="20" t="n">
        <v>1529.89</v>
      </c>
      <c r="L41" s="20" t="n">
        <v>284.46</v>
      </c>
    </row>
    <row r="42">
      <c r="A42" s="19" t="inlineStr">
        <is>
          <t>6.5-6.11</t>
        </is>
      </c>
      <c r="B42" s="19" t="inlineStr">
        <is>
          <t>S-10012N</t>
        </is>
      </c>
      <c r="C42" s="19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D42" s="20" t="n">
        <v>234.65</v>
      </c>
      <c r="E42" s="21" t="n">
        <v>0.01919110303034823</v>
      </c>
      <c r="F42" s="19" t="n">
        <v>1</v>
      </c>
      <c r="G42" s="19" t="n">
        <v>1</v>
      </c>
      <c r="H42" s="19" t="n">
        <v>1</v>
      </c>
      <c r="I42" s="20" t="n">
        <v>234.65</v>
      </c>
      <c r="J42" s="20" t="n">
        <v>234.65</v>
      </c>
      <c r="K42" s="20" t="n">
        <v>250</v>
      </c>
      <c r="L42" s="20" t="n">
        <v>0</v>
      </c>
    </row>
    <row r="43">
      <c r="A43" s="19" t="inlineStr">
        <is>
          <t>6.5-6.11</t>
        </is>
      </c>
      <c r="B43" s="19" t="inlineStr">
        <is>
          <t>BS-07AM</t>
        </is>
      </c>
      <c r="C43" s="19" t="inlineStr">
        <is>
          <t>Altavoz Inalámbrico Portátil con Diseño Retro, Bajos Optimizados y Sonido 3D Envolvente,Compatible con TF/FM/AUX, Conexión BT TWS. Ideal para Home Theater, Fiestas y Regalos​</t>
        </is>
      </c>
      <c r="D43" s="20" t="n">
        <v>138.73</v>
      </c>
      <c r="E43" s="21" t="n">
        <v>0.01134637347577477</v>
      </c>
      <c r="F43" s="19" t="n">
        <v>1</v>
      </c>
      <c r="G43" s="19" t="n">
        <v>1</v>
      </c>
      <c r="H43" s="19" t="n">
        <v>1</v>
      </c>
      <c r="I43" s="20" t="n">
        <v>138.73</v>
      </c>
      <c r="J43" s="20" t="n">
        <v>138.73</v>
      </c>
      <c r="K43" s="20" t="n">
        <v>135</v>
      </c>
      <c r="L43" s="20" t="n">
        <v>25.86</v>
      </c>
    </row>
    <row r="44">
      <c r="A44" s="19" t="inlineStr">
        <is>
          <t>6.5-6.11</t>
        </is>
      </c>
      <c r="B44" s="19" t="inlineStr">
        <is>
          <t>IE03CB</t>
        </is>
      </c>
      <c r="C44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44" s="20" t="n">
        <v>77.36</v>
      </c>
      <c r="E44" s="21" t="n">
        <v>0.006326707694443656</v>
      </c>
      <c r="F44" s="19" t="n">
        <v>2</v>
      </c>
      <c r="G44" s="19" t="n">
        <v>2</v>
      </c>
      <c r="H44" s="19" t="n">
        <v>2</v>
      </c>
      <c r="I44" s="20" t="n">
        <v>38.68</v>
      </c>
      <c r="J44" s="20" t="n">
        <v>38.68</v>
      </c>
      <c r="K44" s="20" t="n">
        <v>80</v>
      </c>
      <c r="L44" s="20" t="n">
        <v>51.72</v>
      </c>
    </row>
    <row r="45">
      <c r="A45" s="19" t="inlineStr">
        <is>
          <t>6.5-6.11</t>
        </is>
      </c>
      <c r="B45" s="19" t="inlineStr">
        <is>
          <t>IE03CN</t>
        </is>
      </c>
      <c r="C45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45" s="20" t="n">
        <v>39.06</v>
      </c>
      <c r="E45" s="21" t="n">
        <v>0.003194665113150253</v>
      </c>
      <c r="F45" s="19" t="n">
        <v>1</v>
      </c>
      <c r="G45" s="19" t="n">
        <v>1</v>
      </c>
      <c r="H45" s="19" t="n">
        <v>1</v>
      </c>
      <c r="I45" s="20" t="n">
        <v>39.06</v>
      </c>
      <c r="J45" s="20" t="n">
        <v>39.06</v>
      </c>
      <c r="K45" s="20" t="n">
        <v>40</v>
      </c>
      <c r="L45" s="20" t="n">
        <v>25.86</v>
      </c>
    </row>
    <row r="46">
      <c r="A46" s="19" t="inlineStr">
        <is>
          <t>6.12-6.18</t>
        </is>
      </c>
      <c r="B46" s="19" t="inlineStr">
        <is>
          <t>BS-01</t>
        </is>
      </c>
      <c r="C4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46" s="20" t="n">
        <v>18537.44</v>
      </c>
      <c r="E46" s="21" t="n">
        <v>0.8503924579547476</v>
      </c>
      <c r="F46" s="19" t="n">
        <v>82</v>
      </c>
      <c r="G46" s="19" t="n">
        <v>82</v>
      </c>
      <c r="H46" s="19" t="n">
        <v>82</v>
      </c>
      <c r="I46" s="20" t="n">
        <v>226.07</v>
      </c>
      <c r="J46" s="20" t="n">
        <v>226.07</v>
      </c>
      <c r="K46" s="20" t="n">
        <v>17869.9</v>
      </c>
      <c r="L46" s="20" t="n">
        <v>2068.8</v>
      </c>
    </row>
    <row r="47">
      <c r="A47" s="19" t="inlineStr">
        <is>
          <t>6.12-6.18</t>
        </is>
      </c>
      <c r="B47" s="19" t="inlineStr">
        <is>
          <t>BS-09</t>
        </is>
      </c>
      <c r="C47" s="19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D47" s="20" t="n">
        <v>2704.95</v>
      </c>
      <c r="E47" s="21" t="n">
        <v>0.1240877537430939</v>
      </c>
      <c r="F47" s="19" t="n">
        <v>23</v>
      </c>
      <c r="G47" s="19" t="n">
        <v>21</v>
      </c>
      <c r="H47" s="19" t="n">
        <v>21</v>
      </c>
      <c r="I47" s="20" t="n">
        <v>128.81</v>
      </c>
      <c r="J47" s="20" t="n">
        <v>117.61</v>
      </c>
      <c r="K47" s="20" t="n">
        <v>2701.95</v>
      </c>
      <c r="L47" s="20" t="n">
        <v>491.34</v>
      </c>
    </row>
    <row r="48">
      <c r="A48" s="19" t="inlineStr">
        <is>
          <t>6.12-6.18</t>
        </is>
      </c>
      <c r="B48" s="19" t="inlineStr">
        <is>
          <t>BS-07AM</t>
        </is>
      </c>
      <c r="C48" s="19" t="inlineStr">
        <is>
          <t>Altavoz Inalámbrico Portátil con Diseño Retro, Bajos Optimizados y Sonido 3D Envolvente,Compatible con TF/FM/AUX, Conexión BT TWS. Ideal para Home Theater, Fiestas y Regalos​</t>
        </is>
      </c>
      <c r="D48" s="20" t="n">
        <v>272.19</v>
      </c>
      <c r="E48" s="21" t="n">
        <v>0.0124867309697915</v>
      </c>
      <c r="F48" s="19" t="n">
        <v>2</v>
      </c>
      <c r="G48" s="19" t="n">
        <v>2</v>
      </c>
      <c r="H48" s="19" t="n">
        <v>2</v>
      </c>
      <c r="I48" s="20" t="n">
        <v>136.1</v>
      </c>
      <c r="J48" s="20" t="n">
        <v>136.1</v>
      </c>
      <c r="K48" s="20" t="n">
        <v>265</v>
      </c>
      <c r="L48" s="20" t="n">
        <v>51.72</v>
      </c>
    </row>
    <row r="49">
      <c r="A49" s="19" t="inlineStr">
        <is>
          <t>6.12-6.18</t>
        </is>
      </c>
      <c r="B49" s="19" t="inlineStr">
        <is>
          <t>BS-07V</t>
        </is>
      </c>
      <c r="C49" s="19" t="inlineStr">
        <is>
          <t>Altavoz Inalámbrico Portátil con Diseño Retro, Bajos Optimizados y Sonido 3D Envolvente,Compatible con TF/FM/AUX, Conexión BT TWS. Ideal para Home Theater, Fiestas y Regalos​</t>
        </is>
      </c>
      <c r="D49" s="20" t="n">
        <v>242.8</v>
      </c>
      <c r="E49" s="21" t="n">
        <v>0.01113837941412612</v>
      </c>
      <c r="F49" s="19" t="n">
        <v>2</v>
      </c>
      <c r="G49" s="19" t="n">
        <v>2</v>
      </c>
      <c r="H49" s="19" t="n">
        <v>2</v>
      </c>
      <c r="I49" s="20" t="n">
        <v>121.4</v>
      </c>
      <c r="J49" s="20" t="n">
        <v>121.4</v>
      </c>
      <c r="K49" s="20" t="n">
        <v>263</v>
      </c>
      <c r="L49" s="20" t="n">
        <v>25.86</v>
      </c>
    </row>
    <row r="50">
      <c r="A50" s="19" t="inlineStr">
        <is>
          <t>6.12-6.18</t>
        </is>
      </c>
      <c r="B50" s="19" t="inlineStr">
        <is>
          <t>IE03CN</t>
        </is>
      </c>
      <c r="C50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50" s="20" t="n">
        <v>39.06</v>
      </c>
      <c r="E50" s="21" t="n">
        <v>0.00179193780793763</v>
      </c>
      <c r="F50" s="19" t="n">
        <v>1</v>
      </c>
      <c r="G50" s="19" t="n">
        <v>1</v>
      </c>
      <c r="H50" s="19" t="n">
        <v>1</v>
      </c>
      <c r="I50" s="20" t="n">
        <v>39.06</v>
      </c>
      <c r="J50" s="20" t="n">
        <v>39.06</v>
      </c>
      <c r="K50" s="20" t="n">
        <v>40</v>
      </c>
      <c r="L50" s="20" t="n">
        <v>25.86</v>
      </c>
    </row>
    <row r="51">
      <c r="A51" s="19" t="inlineStr">
        <is>
          <t>6.12-6.18</t>
        </is>
      </c>
      <c r="B51" s="19" t="inlineStr">
        <is>
          <t>GA01UN</t>
        </is>
      </c>
      <c r="C51" s="19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D51" s="20" t="n">
        <v>2.24</v>
      </c>
      <c r="E51" s="21" t="n">
        <v>0.0001027401103033163</v>
      </c>
      <c r="F51" s="19" t="n">
        <v>1</v>
      </c>
      <c r="G51" s="19" t="n">
        <v>1</v>
      </c>
      <c r="H51" s="19" t="n">
        <v>1</v>
      </c>
      <c r="I51" s="20" t="n">
        <v>2.24</v>
      </c>
      <c r="J51" s="20" t="n">
        <v>2.24</v>
      </c>
      <c r="K51" s="20" t="n">
        <v>32</v>
      </c>
      <c r="L51" s="20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22" customWidth="1" min="4" max="4"/>
    <col width="13" customWidth="1" min="5" max="5"/>
    <col width="16" customWidth="1" min="6" max="6"/>
    <col width="5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69" customHeight="1">
      <c r="A1" s="5" t="inlineStr">
        <is>
          <t>周期</t>
        </is>
      </c>
      <c r="B1" s="5" t="inlineStr">
        <is>
          <t>订单ID</t>
        </is>
      </c>
      <c r="C1" s="5" t="inlineStr">
        <is>
          <t>订单状态</t>
        </is>
      </c>
      <c r="D1" s="5" t="inlineStr">
        <is>
          <t>订单行ID</t>
        </is>
      </c>
      <c r="E1" s="5" t="inlineStr">
        <is>
          <t>订单行状态</t>
        </is>
      </c>
      <c r="F1" s="5" t="inlineStr">
        <is>
          <t>SKU</t>
        </is>
      </c>
      <c r="G1" s="5" t="inlineStr">
        <is>
          <t>商品名称</t>
        </is>
      </c>
      <c r="H1" s="5" t="inlineStr">
        <is>
          <t>规格</t>
        </is>
      </c>
      <c r="I1" s="5" t="inlineStr">
        <is>
          <t>销量</t>
        </is>
      </c>
      <c r="J1" s="5" t="inlineStr">
        <is>
          <t>Base price total</t>
        </is>
      </c>
      <c r="K1" s="5" t="inlineStr">
        <is>
          <t>Retail after discounts tax excl.</t>
        </is>
      </c>
      <c r="L1" s="5" t="inlineStr">
        <is>
          <t>Shipping tax excl.</t>
        </is>
      </c>
      <c r="M1" s="5" t="inlineStr">
        <is>
          <t>Product refund</t>
        </is>
      </c>
      <c r="N1" s="5" t="inlineStr">
        <is>
          <t>返还VAT（应收）</t>
        </is>
      </c>
      <c r="O1" s="5" t="inlineStr">
        <is>
          <t>ISR预扣（应扣）</t>
        </is>
      </c>
      <c r="P1" s="5" t="inlineStr">
        <is>
          <t>尾程预估（应扣）</t>
        </is>
      </c>
      <c r="Q1" s="5" t="inlineStr">
        <is>
          <t>GMV</t>
        </is>
      </c>
    </row>
    <row r="2">
      <c r="A2" s="19" t="inlineStr">
        <is>
          <t>5.1-5.7</t>
        </is>
      </c>
      <c r="B2" s="19" t="inlineStr">
        <is>
          <t>PO-128-08630899794551386</t>
        </is>
      </c>
      <c r="C2" s="19" t="inlineStr">
        <is>
          <t>Shipped</t>
        </is>
      </c>
      <c r="D2" s="19" t="inlineStr">
        <is>
          <t>128-08630946980471386</t>
        </is>
      </c>
      <c r="E2" s="19" t="inlineStr">
        <is>
          <t>Shipped</t>
        </is>
      </c>
      <c r="F2" s="19" t="inlineStr">
        <is>
          <t>BS-01</t>
        </is>
      </c>
      <c r="G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" s="19" t="inlineStr">
        <is>
          <t>BS-01</t>
        </is>
      </c>
      <c r="I2" s="19" t="n">
        <v>1</v>
      </c>
      <c r="J2" s="20" t="n">
        <v>273</v>
      </c>
      <c r="K2" s="20" t="n">
        <v>249.28</v>
      </c>
      <c r="L2" s="20" t="n">
        <v>0</v>
      </c>
      <c r="M2" s="20" t="n">
        <v>0</v>
      </c>
      <c r="N2" s="20">
        <f>K2*0.08+L2*0.08</f>
        <v/>
      </c>
      <c r="O2" s="20">
        <f>-(K2*0.025+L2*0.025)</f>
        <v/>
      </c>
      <c r="P2" s="20">
        <f>32</f>
        <v/>
      </c>
      <c r="Q2" s="20">
        <f>J2+L2+N2+O2-P2-M2</f>
        <v/>
      </c>
    </row>
    <row r="3">
      <c r="A3" s="19" t="inlineStr">
        <is>
          <t>5.1-5.7</t>
        </is>
      </c>
      <c r="B3" s="19" t="inlineStr">
        <is>
          <t>PO-128-11623221084790769</t>
        </is>
      </c>
      <c r="C3" s="19" t="inlineStr">
        <is>
          <t>Delivered</t>
        </is>
      </c>
      <c r="D3" s="19" t="inlineStr">
        <is>
          <t>128-11623179141750769</t>
        </is>
      </c>
      <c r="E3" s="19" t="inlineStr">
        <is>
          <t>Delivered</t>
        </is>
      </c>
      <c r="F3" s="19" t="inlineStr">
        <is>
          <t>S-10302</t>
        </is>
      </c>
      <c r="G3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3" s="19" t="inlineStr">
        <is>
          <t>s-10302</t>
        </is>
      </c>
      <c r="I3" s="19" t="n">
        <v>1</v>
      </c>
      <c r="J3" s="20" t="n">
        <v>65</v>
      </c>
      <c r="K3" s="20" t="n">
        <v>76.91</v>
      </c>
      <c r="L3" s="20" t="n">
        <v>25.86</v>
      </c>
      <c r="M3" s="20" t="n">
        <v>4.69</v>
      </c>
      <c r="N3" s="20">
        <f>K3*0.08+L3*0.08</f>
        <v/>
      </c>
      <c r="O3" s="20">
        <f>-(K3*0.025+L3*0.025)</f>
        <v/>
      </c>
      <c r="P3" s="20">
        <f>32</f>
        <v/>
      </c>
      <c r="Q3" s="20">
        <f>J3+L3+N3+O3-P3-M3</f>
        <v/>
      </c>
    </row>
    <row r="4">
      <c r="A4" s="19" t="inlineStr">
        <is>
          <t>5.1-5.7</t>
        </is>
      </c>
      <c r="B4" s="19" t="inlineStr">
        <is>
          <t>PO-128-11467534346871889</t>
        </is>
      </c>
      <c r="C4" s="19" t="inlineStr">
        <is>
          <t>Delivered</t>
        </is>
      </c>
      <c r="D4" s="19" t="inlineStr">
        <is>
          <t>128-11467492403831889</t>
        </is>
      </c>
      <c r="E4" s="19" t="inlineStr">
        <is>
          <t>Delivered</t>
        </is>
      </c>
      <c r="F4" s="19" t="inlineStr">
        <is>
          <t>BS-01</t>
        </is>
      </c>
      <c r="G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" s="19" t="inlineStr">
        <is>
          <t>BS-01</t>
        </is>
      </c>
      <c r="I4" s="19" t="n">
        <v>1</v>
      </c>
      <c r="J4" s="20" t="n">
        <v>273</v>
      </c>
      <c r="K4" s="20" t="n">
        <v>249.29</v>
      </c>
      <c r="L4" s="20" t="n">
        <v>0</v>
      </c>
      <c r="M4" s="20" t="n">
        <v>44.01</v>
      </c>
      <c r="N4" s="20">
        <f>K4*0.08+L4*0.08</f>
        <v/>
      </c>
      <c r="O4" s="20">
        <f>-(K4*0.025+L4*0.025)</f>
        <v/>
      </c>
      <c r="P4" s="20">
        <f>32</f>
        <v/>
      </c>
      <c r="Q4" s="20">
        <f>J4+L4+N4+O4-P4-M4</f>
        <v/>
      </c>
    </row>
    <row r="5">
      <c r="A5" s="19" t="inlineStr">
        <is>
          <t>5.1-5.7</t>
        </is>
      </c>
      <c r="B5" s="19" t="inlineStr">
        <is>
          <t>PO-128-11600745441910903</t>
        </is>
      </c>
      <c r="C5" s="19" t="inlineStr">
        <is>
          <t>Delivered</t>
        </is>
      </c>
      <c r="D5" s="19" t="inlineStr">
        <is>
          <t>128-11600703498870903</t>
        </is>
      </c>
      <c r="E5" s="19" t="inlineStr">
        <is>
          <t>Delivered</t>
        </is>
      </c>
      <c r="F5" s="19" t="inlineStr">
        <is>
          <t>BS-01</t>
        </is>
      </c>
      <c r="G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" s="19" t="inlineStr">
        <is>
          <t>BS-01</t>
        </is>
      </c>
      <c r="I5" s="19" t="n">
        <v>1</v>
      </c>
      <c r="J5" s="20" t="n">
        <v>273</v>
      </c>
      <c r="K5" s="20" t="n">
        <v>311.61</v>
      </c>
      <c r="L5" s="20" t="n">
        <v>0</v>
      </c>
      <c r="M5" s="20" t="n">
        <v>0</v>
      </c>
      <c r="N5" s="20">
        <f>K5*0.08+L5*0.08</f>
        <v/>
      </c>
      <c r="O5" s="20">
        <f>-(K5*0.025+L5*0.025)</f>
        <v/>
      </c>
      <c r="P5" s="20">
        <f>32</f>
        <v/>
      </c>
      <c r="Q5" s="20">
        <f>J5+L5+N5+O5-P5-M5</f>
        <v/>
      </c>
    </row>
    <row r="6">
      <c r="A6" s="19" t="inlineStr">
        <is>
          <t>5.1-5.7</t>
        </is>
      </c>
      <c r="B6" s="19" t="inlineStr">
        <is>
          <t>PO-128-11152394138233639</t>
        </is>
      </c>
      <c r="C6" s="19" t="inlineStr">
        <is>
          <t>Delivered</t>
        </is>
      </c>
      <c r="D6" s="19" t="inlineStr">
        <is>
          <t>128-11152373166713639</t>
        </is>
      </c>
      <c r="E6" s="19" t="inlineStr">
        <is>
          <t>Delivered</t>
        </is>
      </c>
      <c r="F6" s="19" t="inlineStr">
        <is>
          <t>BS-09</t>
        </is>
      </c>
      <c r="G6" s="19" t="inlineStr">
        <is>
          <t>Altavoz de barra para PC con iluminación RGB, sonido de alta fidelidad y múltiples conexiones: Bluetooth, radio FM, USB, TF, AUX y TWS. Ideal para juegos, reuniones y cine en casa.</t>
        </is>
      </c>
      <c r="H6" s="19" t="inlineStr">
        <is>
          <t>NEGRO</t>
        </is>
      </c>
      <c r="I6" s="19" t="n">
        <v>2</v>
      </c>
      <c r="J6" s="20" t="n">
        <v>260</v>
      </c>
      <c r="K6" s="20" t="n">
        <v>316.8</v>
      </c>
      <c r="L6" s="20" t="n">
        <v>0</v>
      </c>
      <c r="M6" s="20" t="n">
        <v>0</v>
      </c>
      <c r="N6" s="20">
        <f>K6*0.08+L6*0.08</f>
        <v/>
      </c>
      <c r="O6" s="20">
        <f>-(K6*0.025+L6*0.025)</f>
        <v/>
      </c>
      <c r="P6" s="20">
        <f>32</f>
        <v/>
      </c>
      <c r="Q6" s="20">
        <f>J6+L6+N6+O6-P6-M6</f>
        <v/>
      </c>
    </row>
    <row r="7">
      <c r="A7" s="19" t="inlineStr">
        <is>
          <t>5.1-5.7</t>
        </is>
      </c>
      <c r="B7" s="19" t="inlineStr">
        <is>
          <t>PO-128-11626233743990815</t>
        </is>
      </c>
      <c r="C7" s="19" t="inlineStr">
        <is>
          <t>Delivered</t>
        </is>
      </c>
      <c r="D7" s="19" t="inlineStr">
        <is>
          <t>128-11626274703990815</t>
        </is>
      </c>
      <c r="E7" s="19" t="inlineStr">
        <is>
          <t>Delivered</t>
        </is>
      </c>
      <c r="F7" s="19" t="inlineStr">
        <is>
          <t>BS-01</t>
        </is>
      </c>
      <c r="G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" s="19" t="inlineStr">
        <is>
          <t>BS-01</t>
        </is>
      </c>
      <c r="I7" s="19" t="n">
        <v>1</v>
      </c>
      <c r="J7" s="20" t="n">
        <v>273</v>
      </c>
      <c r="K7" s="20" t="n">
        <v>285.53</v>
      </c>
      <c r="L7" s="20" t="n">
        <v>0</v>
      </c>
      <c r="M7" s="20" t="n">
        <v>0</v>
      </c>
      <c r="N7" s="20">
        <f>K7*0.08+L7*0.08</f>
        <v/>
      </c>
      <c r="O7" s="20">
        <f>-(K7*0.025+L7*0.025)</f>
        <v/>
      </c>
      <c r="P7" s="20">
        <f>32</f>
        <v/>
      </c>
      <c r="Q7" s="20">
        <f>J7+L7+N7+O7-P7-M7</f>
        <v/>
      </c>
    </row>
    <row r="8">
      <c r="A8" s="19" t="inlineStr">
        <is>
          <t>5.1-5.7</t>
        </is>
      </c>
      <c r="B8" s="19" t="inlineStr">
        <is>
          <t>PO-128-00092439268474024</t>
        </is>
      </c>
      <c r="C8" s="19" t="inlineStr">
        <is>
          <t>Delivered</t>
        </is>
      </c>
      <c r="D8" s="19" t="inlineStr">
        <is>
          <t>128-00092397325434024</t>
        </is>
      </c>
      <c r="E8" s="19" t="inlineStr">
        <is>
          <t>Delivered</t>
        </is>
      </c>
      <c r="F8" s="19" t="inlineStr">
        <is>
          <t>BS-09</t>
        </is>
      </c>
      <c r="G8" s="19" t="inlineStr">
        <is>
          <t>Altavoz de barra para PC con iluminación RGB, sonido de alta fidelidad y múltiples conexiones: Bluetooth, radio FM, USB, TF, AUX y TWS. Ideal para juegos, reuniones y cine en casa.</t>
        </is>
      </c>
      <c r="H8" s="19" t="inlineStr">
        <is>
          <t>NEGRO</t>
        </is>
      </c>
      <c r="I8" s="19" t="n">
        <v>1</v>
      </c>
      <c r="J8" s="20" t="n">
        <v>130</v>
      </c>
      <c r="K8" s="20" t="n">
        <v>158.4</v>
      </c>
      <c r="L8" s="20" t="n">
        <v>25.86</v>
      </c>
      <c r="M8" s="20" t="n">
        <v>0</v>
      </c>
      <c r="N8" s="20">
        <f>K8*0.08+L8*0.08</f>
        <v/>
      </c>
      <c r="O8" s="20">
        <f>-(K8*0.025+L8*0.025)</f>
        <v/>
      </c>
      <c r="P8" s="20">
        <f>32</f>
        <v/>
      </c>
      <c r="Q8" s="20">
        <f>J8+L8+N8+O8-P8-M8</f>
        <v/>
      </c>
    </row>
    <row r="9">
      <c r="A9" s="19" t="inlineStr">
        <is>
          <t>5.1-5.7</t>
        </is>
      </c>
      <c r="B9" s="19" t="inlineStr">
        <is>
          <t>PO-128-00216543872632196</t>
        </is>
      </c>
      <c r="C9" s="19" t="inlineStr">
        <is>
          <t>Delivered</t>
        </is>
      </c>
      <c r="D9" s="19" t="inlineStr">
        <is>
          <t>128-00216522901112196</t>
        </is>
      </c>
      <c r="E9" s="19" t="inlineStr">
        <is>
          <t>Delivered</t>
        </is>
      </c>
      <c r="F9" s="19" t="inlineStr">
        <is>
          <t>BS-01</t>
        </is>
      </c>
      <c r="G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" s="19" t="inlineStr">
        <is>
          <t>BS-01</t>
        </is>
      </c>
      <c r="I9" s="19" t="n">
        <v>1</v>
      </c>
      <c r="J9" s="20" t="n">
        <v>273</v>
      </c>
      <c r="K9" s="20" t="n">
        <v>311.61</v>
      </c>
      <c r="L9" s="20" t="n">
        <v>0</v>
      </c>
      <c r="M9" s="20" t="n">
        <v>0</v>
      </c>
      <c r="N9" s="20">
        <f>K9*0.08+L9*0.08</f>
        <v/>
      </c>
      <c r="O9" s="20">
        <f>-(K9*0.025+L9*0.025)</f>
        <v/>
      </c>
      <c r="P9" s="20">
        <f>32</f>
        <v/>
      </c>
      <c r="Q9" s="20">
        <f>J9+L9+N9+O9-P9-M9</f>
        <v/>
      </c>
    </row>
    <row r="10">
      <c r="A10" s="19" t="inlineStr">
        <is>
          <t>5.1-5.7</t>
        </is>
      </c>
      <c r="B10" s="19" t="inlineStr">
        <is>
          <t>PO-128-00360855511671528</t>
        </is>
      </c>
      <c r="C10" s="19" t="inlineStr">
        <is>
          <t>Delivered</t>
        </is>
      </c>
      <c r="D10" s="19" t="inlineStr">
        <is>
          <t>128-00360813568631528</t>
        </is>
      </c>
      <c r="E10" s="19" t="inlineStr">
        <is>
          <t>Delivered</t>
        </is>
      </c>
      <c r="F10" s="19" t="inlineStr">
        <is>
          <t>IE03CN</t>
        </is>
      </c>
      <c r="G10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0" s="19" t="inlineStr">
        <is>
          <t>NEGRO</t>
        </is>
      </c>
      <c r="I10" s="19" t="n">
        <v>1</v>
      </c>
      <c r="J10" s="20" t="n">
        <v>40</v>
      </c>
      <c r="K10" s="20" t="n">
        <v>6.5</v>
      </c>
      <c r="L10" s="20" t="n">
        <v>25.86</v>
      </c>
      <c r="M10" s="20" t="n">
        <v>0</v>
      </c>
      <c r="N10" s="20">
        <f>K10*0.08+L10*0.08</f>
        <v/>
      </c>
      <c r="O10" s="20">
        <f>-(K10*0.025+L10*0.025)</f>
        <v/>
      </c>
      <c r="P10" s="20">
        <f>32</f>
        <v/>
      </c>
      <c r="Q10" s="20">
        <f>J10+L10+N10+O10-P10-M10</f>
        <v/>
      </c>
    </row>
    <row r="11">
      <c r="A11" s="19" t="inlineStr">
        <is>
          <t>5.1-5.7</t>
        </is>
      </c>
      <c r="B11" s="19" t="inlineStr">
        <is>
          <t>PO-128-19751095163511603</t>
        </is>
      </c>
      <c r="C11" s="19" t="inlineStr">
        <is>
          <t>Delivered</t>
        </is>
      </c>
      <c r="D11" s="19" t="inlineStr">
        <is>
          <t>128-19751042734711603</t>
        </is>
      </c>
      <c r="E11" s="19" t="inlineStr">
        <is>
          <t>Delivered</t>
        </is>
      </c>
      <c r="F11" s="19" t="inlineStr">
        <is>
          <t>BS-01</t>
        </is>
      </c>
      <c r="G1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" s="19" t="inlineStr">
        <is>
          <t>BS-01</t>
        </is>
      </c>
      <c r="I11" s="19" t="n">
        <v>1</v>
      </c>
      <c r="J11" s="20" t="n">
        <v>273</v>
      </c>
      <c r="K11" s="20" t="n">
        <v>267.66</v>
      </c>
      <c r="L11" s="20" t="n">
        <v>0</v>
      </c>
      <c r="M11" s="20" t="n">
        <v>0</v>
      </c>
      <c r="N11" s="20">
        <f>K11*0.08+L11*0.08</f>
        <v/>
      </c>
      <c r="O11" s="20">
        <f>-(K11*0.025+L11*0.025)</f>
        <v/>
      </c>
      <c r="P11" s="20">
        <f>32</f>
        <v/>
      </c>
      <c r="Q11" s="20">
        <f>J11+L11+N11+O11-P11-M11</f>
        <v/>
      </c>
    </row>
    <row r="12">
      <c r="A12" s="19" t="inlineStr">
        <is>
          <t>5.1-5.7</t>
        </is>
      </c>
      <c r="B12" s="19" t="inlineStr">
        <is>
          <t>PO-128-19694210191991812</t>
        </is>
      </c>
      <c r="C12" s="19" t="inlineStr">
        <is>
          <t>Delivered</t>
        </is>
      </c>
      <c r="D12" s="19" t="inlineStr">
        <is>
          <t>128-19694231163511812</t>
        </is>
      </c>
      <c r="E12" s="19" t="inlineStr">
        <is>
          <t>Delivered</t>
        </is>
      </c>
      <c r="F12" s="19" t="inlineStr">
        <is>
          <t>BS-01</t>
        </is>
      </c>
      <c r="G1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" s="19" t="inlineStr">
        <is>
          <t>BS-01</t>
        </is>
      </c>
      <c r="I12" s="19" t="n">
        <v>1</v>
      </c>
      <c r="J12" s="20" t="n">
        <v>273</v>
      </c>
      <c r="K12" s="20" t="n">
        <v>52.99</v>
      </c>
      <c r="L12" s="20" t="n">
        <v>0</v>
      </c>
      <c r="M12" s="20" t="n">
        <v>0</v>
      </c>
      <c r="N12" s="20">
        <f>K12*0.08+L12*0.08</f>
        <v/>
      </c>
      <c r="O12" s="20">
        <f>-(K12*0.025+L12*0.025)</f>
        <v/>
      </c>
      <c r="P12" s="20">
        <f>32</f>
        <v/>
      </c>
      <c r="Q12" s="20">
        <f>J12+L12+N12+O12-P12-M12</f>
        <v/>
      </c>
    </row>
    <row r="13">
      <c r="A13" s="19" t="inlineStr">
        <is>
          <t>5.1-5.7</t>
        </is>
      </c>
      <c r="B13" s="19" t="inlineStr">
        <is>
          <t>PO-128-19876319258230854</t>
        </is>
      </c>
      <c r="C13" s="19" t="inlineStr">
        <is>
          <t>Delivered</t>
        </is>
      </c>
      <c r="D13" s="19" t="inlineStr">
        <is>
          <t>128-19876329743990854</t>
        </is>
      </c>
      <c r="E13" s="19" t="inlineStr">
        <is>
          <t>Delivered</t>
        </is>
      </c>
      <c r="F13" s="19" t="inlineStr">
        <is>
          <t>BS-09</t>
        </is>
      </c>
      <c r="G13" s="19" t="inlineStr">
        <is>
          <t>Altavoz de barra para PC con iluminación RGB, sonido de alta fidelidad y múltiples conexiones: Bluetooth, radio FM, USB, TF, AUX y TWS. Ideal para juegos, reuniones y cine en casa.</t>
        </is>
      </c>
      <c r="H13" s="19" t="inlineStr">
        <is>
          <t>NEGRO</t>
        </is>
      </c>
      <c r="I13" s="19" t="n">
        <v>1</v>
      </c>
      <c r="J13" s="20" t="n">
        <v>130</v>
      </c>
      <c r="K13" s="20" t="n">
        <v>158.4</v>
      </c>
      <c r="L13" s="20" t="n">
        <v>25.86</v>
      </c>
      <c r="M13" s="20" t="n">
        <v>0</v>
      </c>
      <c r="N13" s="20">
        <f>K13*0.08+L13*0.08</f>
        <v/>
      </c>
      <c r="O13" s="20">
        <f>-(K13*0.025+L13*0.025)</f>
        <v/>
      </c>
      <c r="P13" s="20">
        <f>32</f>
        <v/>
      </c>
      <c r="Q13" s="20">
        <f>J13+L13+N13+O13-P13-M13</f>
        <v/>
      </c>
    </row>
    <row r="14">
      <c r="A14" s="19" t="inlineStr">
        <is>
          <t>5.1-5.7</t>
        </is>
      </c>
      <c r="B14" s="19" t="inlineStr">
        <is>
          <t>PO-128-19377852877433763</t>
        </is>
      </c>
      <c r="C14" s="19" t="inlineStr">
        <is>
          <t>Delivered</t>
        </is>
      </c>
      <c r="D14" s="19" t="inlineStr">
        <is>
          <t>128-19377893837433763</t>
        </is>
      </c>
      <c r="E14" s="19" t="inlineStr">
        <is>
          <t>Delivered</t>
        </is>
      </c>
      <c r="F14" s="19" t="inlineStr">
        <is>
          <t>IE03CN</t>
        </is>
      </c>
      <c r="G14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4" s="19" t="inlineStr">
        <is>
          <t>NEGRO</t>
        </is>
      </c>
      <c r="I14" s="19" t="n">
        <v>1</v>
      </c>
      <c r="J14" s="20" t="n">
        <v>40</v>
      </c>
      <c r="K14" s="20" t="n">
        <v>49.6</v>
      </c>
      <c r="L14" s="20" t="n">
        <v>25.86</v>
      </c>
      <c r="M14" s="20" t="n">
        <v>0</v>
      </c>
      <c r="N14" s="20">
        <f>K14*0.08+L14*0.08</f>
        <v/>
      </c>
      <c r="O14" s="20">
        <f>-(K14*0.025+L14*0.025)</f>
        <v/>
      </c>
      <c r="P14" s="20">
        <f>32</f>
        <v/>
      </c>
      <c r="Q14" s="20">
        <f>J14+L14+N14+O14-P14-M14</f>
        <v/>
      </c>
    </row>
    <row r="15">
      <c r="A15" s="19" t="inlineStr">
        <is>
          <t>5.1-5.7</t>
        </is>
      </c>
      <c r="B15" s="19" t="inlineStr">
        <is>
          <t>PO-128-19376264202873773</t>
        </is>
      </c>
      <c r="C15" s="19" t="inlineStr">
        <is>
          <t>Delivered</t>
        </is>
      </c>
      <c r="D15" s="19" t="inlineStr">
        <is>
          <t>128-19376332360313773</t>
        </is>
      </c>
      <c r="E15" s="19" t="inlineStr">
        <is>
          <t>Delivered</t>
        </is>
      </c>
      <c r="F15" s="19" t="inlineStr">
        <is>
          <t>BS-01</t>
        </is>
      </c>
      <c r="G1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" s="19" t="inlineStr">
        <is>
          <t>BS-01</t>
        </is>
      </c>
      <c r="I15" s="19" t="n">
        <v>1</v>
      </c>
      <c r="J15" s="20" t="n">
        <v>273</v>
      </c>
      <c r="K15" s="20" t="n">
        <v>311.61</v>
      </c>
      <c r="L15" s="20" t="n">
        <v>0</v>
      </c>
      <c r="M15" s="20" t="n">
        <v>0</v>
      </c>
      <c r="N15" s="20">
        <f>K15*0.08+L15*0.08</f>
        <v/>
      </c>
      <c r="O15" s="20">
        <f>-(K15*0.025+L15*0.025)</f>
        <v/>
      </c>
      <c r="P15" s="20">
        <f>32</f>
        <v/>
      </c>
      <c r="Q15" s="20">
        <f>J15+L15+N15+O15-P15-M15</f>
        <v/>
      </c>
    </row>
    <row r="16">
      <c r="A16" s="19" t="inlineStr">
        <is>
          <t>5.1-5.7</t>
        </is>
      </c>
      <c r="B16" s="19" t="inlineStr">
        <is>
          <t>PO-128-19808414536310173</t>
        </is>
      </c>
      <c r="C16" s="19" t="inlineStr">
        <is>
          <t>Delivered</t>
        </is>
      </c>
      <c r="D16" s="19" t="inlineStr">
        <is>
          <t>128-19808383079030173</t>
        </is>
      </c>
      <c r="E16" s="19" t="inlineStr">
        <is>
          <t>Delivered</t>
        </is>
      </c>
      <c r="F16" s="19" t="inlineStr">
        <is>
          <t>BS-01</t>
        </is>
      </c>
      <c r="G1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" s="19" t="inlineStr">
        <is>
          <t>BS-01</t>
        </is>
      </c>
      <c r="I16" s="19" t="n">
        <v>1</v>
      </c>
      <c r="J16" s="20" t="n">
        <v>273</v>
      </c>
      <c r="K16" s="20" t="n">
        <v>264.88</v>
      </c>
      <c r="L16" s="20" t="n">
        <v>0</v>
      </c>
      <c r="M16" s="20" t="n">
        <v>0</v>
      </c>
      <c r="N16" s="20">
        <f>K16*0.08+L16*0.08</f>
        <v/>
      </c>
      <c r="O16" s="20">
        <f>-(K16*0.025+L16*0.025)</f>
        <v/>
      </c>
      <c r="P16" s="20">
        <f>32</f>
        <v/>
      </c>
      <c r="Q16" s="20">
        <f>J16+L16+N16+O16-P16-M16</f>
        <v/>
      </c>
    </row>
    <row r="17">
      <c r="A17" s="19" t="inlineStr">
        <is>
          <t>5.1-5.7</t>
        </is>
      </c>
      <c r="B17" s="19" t="inlineStr">
        <is>
          <t>PO-128-19455997297272400</t>
        </is>
      </c>
      <c r="C17" s="19" t="inlineStr">
        <is>
          <t>Delivered</t>
        </is>
      </c>
      <c r="D17" s="19" t="inlineStr">
        <is>
          <t>128-19456031375992400</t>
        </is>
      </c>
      <c r="E17" s="19" t="inlineStr">
        <is>
          <t>Delivered</t>
        </is>
      </c>
      <c r="F17" s="19" t="inlineStr">
        <is>
          <t>S-10302</t>
        </is>
      </c>
      <c r="G17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17" s="19" t="inlineStr">
        <is>
          <t>s-10302</t>
        </is>
      </c>
      <c r="I17" s="19" t="n">
        <v>1</v>
      </c>
      <c r="J17" s="20" t="n">
        <v>65</v>
      </c>
      <c r="K17" s="20" t="n">
        <v>71.03</v>
      </c>
      <c r="L17" s="20" t="n">
        <v>25.86</v>
      </c>
      <c r="M17" s="20" t="n">
        <v>0</v>
      </c>
      <c r="N17" s="20">
        <f>K17*0.08+L17*0.08</f>
        <v/>
      </c>
      <c r="O17" s="20">
        <f>-(K17*0.025+L17*0.025)</f>
        <v/>
      </c>
      <c r="P17" s="20">
        <f>32</f>
        <v/>
      </c>
      <c r="Q17" s="20">
        <f>J17+L17+N17+O17-P17-M17</f>
        <v/>
      </c>
    </row>
    <row r="18">
      <c r="A18" s="19" t="inlineStr">
        <is>
          <t>5.1-5.7</t>
        </is>
      </c>
      <c r="B18" s="19" t="inlineStr">
        <is>
          <t>PO-128-19537701069432939</t>
        </is>
      </c>
      <c r="C18" s="19" t="inlineStr">
        <is>
          <t>Delivered</t>
        </is>
      </c>
      <c r="D18" s="19" t="inlineStr">
        <is>
          <t>128-19537659126392939</t>
        </is>
      </c>
      <c r="E18" s="19" t="inlineStr">
        <is>
          <t>Delivered</t>
        </is>
      </c>
      <c r="F18" s="19" t="inlineStr">
        <is>
          <t>IE01MB</t>
        </is>
      </c>
      <c r="G18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8" s="19" t="inlineStr">
        <is>
          <t>1 pieza</t>
        </is>
      </c>
      <c r="I18" s="19" t="n">
        <v>1</v>
      </c>
      <c r="J18" s="20" t="n">
        <v>22</v>
      </c>
      <c r="K18" s="20" t="n">
        <v>27.9</v>
      </c>
      <c r="L18" s="20" t="n">
        <v>25.86</v>
      </c>
      <c r="M18" s="20" t="n">
        <v>0</v>
      </c>
      <c r="N18" s="20">
        <f>K18*0.08+L18*0.08</f>
        <v/>
      </c>
      <c r="O18" s="20">
        <f>-(K18*0.025+L18*0.025)</f>
        <v/>
      </c>
      <c r="P18" s="20">
        <f>32</f>
        <v/>
      </c>
      <c r="Q18" s="20">
        <f>J18+L18+N18+O18-P18-M18</f>
        <v/>
      </c>
    </row>
    <row r="19">
      <c r="A19" s="19" t="inlineStr">
        <is>
          <t>5.1-5.7</t>
        </is>
      </c>
      <c r="B19" s="19" t="inlineStr">
        <is>
          <t>PO-128-19920660050550590</t>
        </is>
      </c>
      <c r="C19" s="19" t="inlineStr">
        <is>
          <t>Delivered</t>
        </is>
      </c>
      <c r="D19" s="19" t="inlineStr">
        <is>
          <t>128-19920639079030590</t>
        </is>
      </c>
      <c r="E19" s="19" t="inlineStr">
        <is>
          <t>Delivered</t>
        </is>
      </c>
      <c r="F19" s="19" t="inlineStr">
        <is>
          <t>BS-09</t>
        </is>
      </c>
      <c r="G19" s="19" t="inlineStr">
        <is>
          <t>Altavoz de barra para PC con iluminación RGB, sonido de alta fidelidad y múltiples conexiones: Bluetooth, radio FM, USB, TF, AUX y TWS. Ideal para juegos, reuniones y cine en casa.</t>
        </is>
      </c>
      <c r="H19" s="19" t="inlineStr">
        <is>
          <t>NEGRO</t>
        </is>
      </c>
      <c r="I19" s="19" t="n">
        <v>1</v>
      </c>
      <c r="J19" s="20" t="n">
        <v>140</v>
      </c>
      <c r="K19" s="20" t="n">
        <v>168.4</v>
      </c>
      <c r="L19" s="20" t="n">
        <v>25.86</v>
      </c>
      <c r="M19" s="20" t="n">
        <v>0</v>
      </c>
      <c r="N19" s="20">
        <f>K19*0.08+L19*0.08</f>
        <v/>
      </c>
      <c r="O19" s="20">
        <f>-(K19*0.025+L19*0.025)</f>
        <v/>
      </c>
      <c r="P19" s="20">
        <f>32</f>
        <v/>
      </c>
      <c r="Q19" s="20">
        <f>J19+L19+N19+O19-P19-M19</f>
        <v/>
      </c>
    </row>
    <row r="20">
      <c r="A20" s="19" t="inlineStr">
        <is>
          <t>5.1-5.7</t>
        </is>
      </c>
      <c r="B20" s="19" t="inlineStr">
        <is>
          <t>PO-128-08733629993591734</t>
        </is>
      </c>
      <c r="C20" s="19" t="inlineStr">
        <is>
          <t>Delivered</t>
        </is>
      </c>
      <c r="D20" s="19" t="inlineStr">
        <is>
          <t>128-08733609022071734</t>
        </is>
      </c>
      <c r="E20" s="19" t="inlineStr">
        <is>
          <t>Delivered</t>
        </is>
      </c>
      <c r="F20" s="19" t="inlineStr">
        <is>
          <t>BS-01</t>
        </is>
      </c>
      <c r="G2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" s="19" t="inlineStr">
        <is>
          <t>BS-01</t>
        </is>
      </c>
      <c r="I20" s="19" t="n">
        <v>1</v>
      </c>
      <c r="J20" s="20" t="n">
        <v>273</v>
      </c>
      <c r="K20" s="20" t="n">
        <v>308.14</v>
      </c>
      <c r="L20" s="20" t="n">
        <v>0</v>
      </c>
      <c r="M20" s="20" t="n">
        <v>0</v>
      </c>
      <c r="N20" s="20">
        <f>K20*0.08+L20*0.08</f>
        <v/>
      </c>
      <c r="O20" s="20">
        <f>-(K20*0.025+L20*0.025)</f>
        <v/>
      </c>
      <c r="P20" s="20">
        <f>32</f>
        <v/>
      </c>
      <c r="Q20" s="20">
        <f>J20+L20+N20+O20-P20-M20</f>
        <v/>
      </c>
    </row>
    <row r="21">
      <c r="A21" s="19" t="inlineStr">
        <is>
          <t>5.1-5.7</t>
        </is>
      </c>
      <c r="B21" s="19" t="inlineStr">
        <is>
          <t>PO-128-08422126899832441</t>
        </is>
      </c>
      <c r="C21" s="19" t="inlineStr">
        <is>
          <t>Delivered</t>
        </is>
      </c>
      <c r="D21" s="19" t="inlineStr">
        <is>
          <t>128-08422084956792441</t>
        </is>
      </c>
      <c r="E21" s="19" t="inlineStr">
        <is>
          <t>Delivered</t>
        </is>
      </c>
      <c r="F21" s="19" t="inlineStr">
        <is>
          <t>BS-01</t>
        </is>
      </c>
      <c r="G2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" s="19" t="inlineStr">
        <is>
          <t>BS-01</t>
        </is>
      </c>
      <c r="I21" s="19" t="n">
        <v>1</v>
      </c>
      <c r="J21" s="20" t="n">
        <v>273</v>
      </c>
      <c r="K21" s="20" t="n">
        <v>268.51</v>
      </c>
      <c r="L21" s="20" t="n">
        <v>0</v>
      </c>
      <c r="M21" s="20" t="n">
        <v>0</v>
      </c>
      <c r="N21" s="20">
        <f>K21*0.08+L21*0.08</f>
        <v/>
      </c>
      <c r="O21" s="20">
        <f>-(K21*0.025+L21*0.025)</f>
        <v/>
      </c>
      <c r="P21" s="20">
        <f>32</f>
        <v/>
      </c>
      <c r="Q21" s="20">
        <f>J21+L21+N21+O21-P21-M21</f>
        <v/>
      </c>
    </row>
    <row r="22">
      <c r="A22" s="19" t="inlineStr">
        <is>
          <t>5.1-5.7</t>
        </is>
      </c>
      <c r="B22" s="19" t="inlineStr">
        <is>
          <t>PO-128-08505644452472967</t>
        </is>
      </c>
      <c r="C22" s="19" t="inlineStr">
        <is>
          <t>Delivered</t>
        </is>
      </c>
      <c r="D22" s="19" t="inlineStr">
        <is>
          <t>128-08505696881272967</t>
        </is>
      </c>
      <c r="E22" s="19" t="inlineStr">
        <is>
          <t>Delivered</t>
        </is>
      </c>
      <c r="F22" s="19" t="inlineStr">
        <is>
          <t>BS-01</t>
        </is>
      </c>
      <c r="G2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" s="19" t="inlineStr">
        <is>
          <t>BS-01</t>
        </is>
      </c>
      <c r="I22" s="19" t="n">
        <v>1</v>
      </c>
      <c r="J22" s="20" t="n">
        <v>273</v>
      </c>
      <c r="K22" s="20" t="n">
        <v>311.61</v>
      </c>
      <c r="L22" s="20" t="n">
        <v>0</v>
      </c>
      <c r="M22" s="20" t="n">
        <v>0</v>
      </c>
      <c r="N22" s="20">
        <f>K22*0.08+L22*0.08</f>
        <v/>
      </c>
      <c r="O22" s="20">
        <f>-(K22*0.025+L22*0.025)</f>
        <v/>
      </c>
      <c r="P22" s="20">
        <f>32</f>
        <v/>
      </c>
      <c r="Q22" s="20">
        <f>J22+L22+N22+O22-P22-M22</f>
        <v/>
      </c>
    </row>
    <row r="23">
      <c r="A23" s="19" t="inlineStr">
        <is>
          <t>5.1-5.7</t>
        </is>
      </c>
      <c r="B23" s="19" t="inlineStr">
        <is>
          <t>PO-128-08355174738553862</t>
        </is>
      </c>
      <c r="C23" s="19" t="inlineStr">
        <is>
          <t>Delivered</t>
        </is>
      </c>
      <c r="D23" s="19" t="inlineStr">
        <is>
          <t>128-08355195710073862</t>
        </is>
      </c>
      <c r="E23" s="19" t="inlineStr">
        <is>
          <t>Delivered</t>
        </is>
      </c>
      <c r="F23" s="19" t="inlineStr">
        <is>
          <t>IE01MB</t>
        </is>
      </c>
      <c r="G23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3" s="19" t="inlineStr">
        <is>
          <t>1 pieza</t>
        </is>
      </c>
      <c r="I23" s="19" t="n">
        <v>2</v>
      </c>
      <c r="J23" s="20" t="n">
        <v>44</v>
      </c>
      <c r="K23" s="20" t="n">
        <v>55.8</v>
      </c>
      <c r="L23" s="20" t="n">
        <v>25.86</v>
      </c>
      <c r="M23" s="20" t="n">
        <v>27.9</v>
      </c>
      <c r="N23" s="20">
        <f>K23*0.08+L23*0.08</f>
        <v/>
      </c>
      <c r="O23" s="20">
        <f>-(K23*0.025+L23*0.025)</f>
        <v/>
      </c>
      <c r="P23" s="20">
        <f>32</f>
        <v/>
      </c>
      <c r="Q23" s="20">
        <f>J23+L23+N23+O23-P23-M23</f>
        <v/>
      </c>
    </row>
    <row r="24">
      <c r="A24" s="19" t="inlineStr">
        <is>
          <t>5.1-5.7</t>
        </is>
      </c>
      <c r="B24" s="19" t="inlineStr">
        <is>
          <t>PO-128-14209342085751864</t>
        </is>
      </c>
      <c r="C24" s="19" t="inlineStr">
        <is>
          <t>Delivered</t>
        </is>
      </c>
      <c r="D24" s="19" t="inlineStr">
        <is>
          <t>128-14209384028791864</t>
        </is>
      </c>
      <c r="E24" s="19" t="inlineStr">
        <is>
          <t>Delivered</t>
        </is>
      </c>
      <c r="F24" s="19" t="inlineStr">
        <is>
          <t>BS-01</t>
        </is>
      </c>
      <c r="G2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" s="19" t="inlineStr">
        <is>
          <t>BS-01</t>
        </is>
      </c>
      <c r="I24" s="19" t="n">
        <v>1</v>
      </c>
      <c r="J24" s="20" t="n">
        <v>273</v>
      </c>
      <c r="K24" s="20" t="n">
        <v>268.51</v>
      </c>
      <c r="L24" s="20" t="n">
        <v>0</v>
      </c>
      <c r="M24" s="20" t="n">
        <v>0</v>
      </c>
      <c r="N24" s="20">
        <f>K24*0.08+L24*0.08</f>
        <v/>
      </c>
      <c r="O24" s="20">
        <f>-(K24*0.025+L24*0.025)</f>
        <v/>
      </c>
      <c r="P24" s="20">
        <f>32</f>
        <v/>
      </c>
      <c r="Q24" s="20">
        <f>J24+L24+N24+O24-P24-M24</f>
        <v/>
      </c>
    </row>
    <row r="25">
      <c r="A25" s="19" t="inlineStr">
        <is>
          <t>5.1-5.7</t>
        </is>
      </c>
      <c r="B25" s="19" t="inlineStr">
        <is>
          <t>PO-128-13848809943674079</t>
        </is>
      </c>
      <c r="C25" s="19" t="inlineStr">
        <is>
          <t>Delivered</t>
        </is>
      </c>
      <c r="D25" s="19" t="inlineStr">
        <is>
          <t>128-13848768000634079</t>
        </is>
      </c>
      <c r="E25" s="19" t="inlineStr">
        <is>
          <t>Delivered</t>
        </is>
      </c>
      <c r="F25" s="19" t="inlineStr">
        <is>
          <t>IE01MB</t>
        </is>
      </c>
      <c r="G25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5" s="19" t="inlineStr">
        <is>
          <t>1 pieza</t>
        </is>
      </c>
      <c r="I25" s="19" t="n">
        <v>1</v>
      </c>
      <c r="J25" s="20" t="n">
        <v>22</v>
      </c>
      <c r="K25" s="20" t="n">
        <v>27.9</v>
      </c>
      <c r="L25" s="20" t="n">
        <v>25.86</v>
      </c>
      <c r="M25" s="20" t="n">
        <v>0</v>
      </c>
      <c r="N25" s="20">
        <f>K25*0.08+L25*0.08</f>
        <v/>
      </c>
      <c r="O25" s="20">
        <f>-(K25*0.025+L25*0.025)</f>
        <v/>
      </c>
      <c r="P25" s="20">
        <f>32</f>
        <v/>
      </c>
      <c r="Q25" s="20">
        <f>J25+L25+N25+O25-P25-M25</f>
        <v/>
      </c>
    </row>
    <row r="26">
      <c r="A26" s="19" t="inlineStr">
        <is>
          <t>5.1-5.7</t>
        </is>
      </c>
      <c r="B26" s="19" t="inlineStr">
        <is>
          <t>PO-128-13804250322553321</t>
        </is>
      </c>
      <c r="C26" s="19" t="inlineStr">
        <is>
          <t>Delivered</t>
        </is>
      </c>
      <c r="D26" s="19" t="inlineStr">
        <is>
          <t>128-13804271294073321</t>
        </is>
      </c>
      <c r="E26" s="19" t="inlineStr">
        <is>
          <t>Delivered</t>
        </is>
      </c>
      <c r="F26" s="19" t="inlineStr">
        <is>
          <t>BS-01</t>
        </is>
      </c>
      <c r="G2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" s="19" t="inlineStr">
        <is>
          <t>BS-01</t>
        </is>
      </c>
      <c r="I26" s="19" t="n">
        <v>1</v>
      </c>
      <c r="J26" s="20" t="n">
        <v>273</v>
      </c>
      <c r="K26" s="20" t="n">
        <v>311.61</v>
      </c>
      <c r="L26" s="20" t="n">
        <v>0</v>
      </c>
      <c r="M26" s="20" t="n">
        <v>0</v>
      </c>
      <c r="N26" s="20">
        <f>K26*0.08+L26*0.08</f>
        <v/>
      </c>
      <c r="O26" s="20">
        <f>-(K26*0.025+L26*0.025)</f>
        <v/>
      </c>
      <c r="P26" s="20">
        <f>32</f>
        <v/>
      </c>
      <c r="Q26" s="20">
        <f>J26+L26+N26+O26-P26-M26</f>
        <v/>
      </c>
    </row>
    <row r="27">
      <c r="A27" s="19" t="inlineStr">
        <is>
          <t>5.1-5.7</t>
        </is>
      </c>
      <c r="B27" s="19" t="inlineStr">
        <is>
          <t>PO-128-14328409871990005</t>
        </is>
      </c>
      <c r="C27" s="19" t="inlineStr">
        <is>
          <t>Delivered</t>
        </is>
      </c>
      <c r="D27" s="19" t="inlineStr">
        <is>
          <t>128-14328399386230005</t>
        </is>
      </c>
      <c r="E27" s="19" t="inlineStr">
        <is>
          <t>Delivered</t>
        </is>
      </c>
      <c r="F27" s="19" t="inlineStr">
        <is>
          <t>BS-01</t>
        </is>
      </c>
      <c r="G2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" s="19" t="inlineStr">
        <is>
          <t>BS-01</t>
        </is>
      </c>
      <c r="I27" s="19" t="n">
        <v>1</v>
      </c>
      <c r="J27" s="20" t="n">
        <v>273</v>
      </c>
      <c r="K27" s="20" t="n">
        <v>261.31</v>
      </c>
      <c r="L27" s="20" t="n">
        <v>0</v>
      </c>
      <c r="M27" s="20" t="n">
        <v>0</v>
      </c>
      <c r="N27" s="20">
        <f>K27*0.08+L27*0.08</f>
        <v/>
      </c>
      <c r="O27" s="20">
        <f>-(K27*0.025+L27*0.025)</f>
        <v/>
      </c>
      <c r="P27" s="20">
        <f>32</f>
        <v/>
      </c>
      <c r="Q27" s="20">
        <f>J27+L27+N27+O27-P27-M27</f>
        <v/>
      </c>
    </row>
    <row r="28">
      <c r="A28" s="19" t="inlineStr">
        <is>
          <t>5.1-5.7</t>
        </is>
      </c>
      <c r="B28" s="19" t="inlineStr">
        <is>
          <t>PO-128-14079844721272636</t>
        </is>
      </c>
      <c r="C28" s="19" t="inlineStr">
        <is>
          <t>Delivered</t>
        </is>
      </c>
      <c r="D28" s="19" t="inlineStr">
        <is>
          <t>128-14079886664312636</t>
        </is>
      </c>
      <c r="E28" s="19" t="inlineStr">
        <is>
          <t>Delivered</t>
        </is>
      </c>
      <c r="F28" s="19" t="inlineStr">
        <is>
          <t>IE01MB</t>
        </is>
      </c>
      <c r="G28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8" s="19" t="inlineStr">
        <is>
          <t>1 pieza</t>
        </is>
      </c>
      <c r="I28" s="19" t="n">
        <v>1</v>
      </c>
      <c r="J28" s="20" t="n">
        <v>17.4</v>
      </c>
      <c r="K28" s="20" t="n">
        <v>23.29</v>
      </c>
      <c r="L28" s="20" t="n">
        <v>25.86</v>
      </c>
      <c r="M28" s="20" t="n">
        <v>0</v>
      </c>
      <c r="N28" s="20">
        <f>K28*0.08+L28*0.08</f>
        <v/>
      </c>
      <c r="O28" s="20">
        <f>-(K28*0.025+L28*0.025)</f>
        <v/>
      </c>
      <c r="P28" s="20">
        <f>32</f>
        <v/>
      </c>
      <c r="Q28" s="20">
        <f>J28+L28+N28+O28-P28-M28</f>
        <v/>
      </c>
    </row>
    <row r="29">
      <c r="A29" s="19" t="inlineStr">
        <is>
          <t>5.1-5.7</t>
        </is>
      </c>
      <c r="B29" s="19" t="inlineStr">
        <is>
          <t>PO-128-13746214861433475</t>
        </is>
      </c>
      <c r="C29" s="19" t="inlineStr">
        <is>
          <t>Delivered</t>
        </is>
      </c>
      <c r="D29" s="19" t="inlineStr">
        <is>
          <t>128-13746172918393475</t>
        </is>
      </c>
      <c r="E29" s="19" t="inlineStr">
        <is>
          <t>Delivered</t>
        </is>
      </c>
      <c r="F29" s="19" t="inlineStr">
        <is>
          <t>IE01MB</t>
        </is>
      </c>
      <c r="G29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9" s="19" t="inlineStr">
        <is>
          <t>1 pieza</t>
        </is>
      </c>
      <c r="I29" s="19" t="n">
        <v>1</v>
      </c>
      <c r="J29" s="20" t="n">
        <v>17.4</v>
      </c>
      <c r="K29" s="20" t="n">
        <v>18.63</v>
      </c>
      <c r="L29" s="20" t="n">
        <v>25.86</v>
      </c>
      <c r="M29" s="20" t="n">
        <v>0</v>
      </c>
      <c r="N29" s="20">
        <f>K29*0.08+L29*0.08</f>
        <v/>
      </c>
      <c r="O29" s="20">
        <f>-(K29*0.025+L29*0.025)</f>
        <v/>
      </c>
      <c r="P29" s="20">
        <f>32</f>
        <v/>
      </c>
      <c r="Q29" s="20">
        <f>J29+L29+N29+O29-P29-M29</f>
        <v/>
      </c>
    </row>
    <row r="30">
      <c r="A30" s="19" t="inlineStr">
        <is>
          <t>5.1-5.7</t>
        </is>
      </c>
      <c r="B30" s="19" t="inlineStr">
        <is>
          <t>PO-128-13939746253432321</t>
        </is>
      </c>
      <c r="C30" s="19" t="inlineStr">
        <is>
          <t>Delivered</t>
        </is>
      </c>
      <c r="D30" s="19" t="inlineStr">
        <is>
          <t>128-13939756739192321</t>
        </is>
      </c>
      <c r="E30" s="19" t="inlineStr">
        <is>
          <t>Delivered</t>
        </is>
      </c>
      <c r="F30" s="19" t="inlineStr">
        <is>
          <t>BS-09</t>
        </is>
      </c>
      <c r="G30" s="19" t="inlineStr">
        <is>
          <t>Altavoz de barra para PC con iluminación RGB, sonido de alta fidelidad y múltiples conexiones: Bluetooth, radio FM, USB, TF, AUX y TWS. Ideal para juegos, reuniones y cine en casa.</t>
        </is>
      </c>
      <c r="H30" s="19" t="inlineStr">
        <is>
          <t>NEGRO</t>
        </is>
      </c>
      <c r="I30" s="19" t="n">
        <v>1</v>
      </c>
      <c r="J30" s="20" t="n">
        <v>135</v>
      </c>
      <c r="K30" s="20" t="n">
        <v>130.72</v>
      </c>
      <c r="L30" s="20" t="n">
        <v>25.86</v>
      </c>
      <c r="M30" s="20" t="n">
        <v>0</v>
      </c>
      <c r="N30" s="20">
        <f>K30*0.08+L30*0.08</f>
        <v/>
      </c>
      <c r="O30" s="20">
        <f>-(K30*0.025+L30*0.025)</f>
        <v/>
      </c>
      <c r="P30" s="20">
        <f>32</f>
        <v/>
      </c>
      <c r="Q30" s="20">
        <f>J30+L30+N30+O30-P30-M30</f>
        <v/>
      </c>
    </row>
    <row r="31">
      <c r="A31" s="19" t="inlineStr">
        <is>
          <t>5.1-5.7</t>
        </is>
      </c>
      <c r="B31" s="19" t="inlineStr">
        <is>
          <t>PO-128-14384030147190889</t>
        </is>
      </c>
      <c r="C31" s="19" t="inlineStr">
        <is>
          <t>Delivered</t>
        </is>
      </c>
      <c r="D31" s="19" t="inlineStr">
        <is>
          <t>128-14384113787510889</t>
        </is>
      </c>
      <c r="E31" s="19" t="inlineStr">
        <is>
          <t>Delivered</t>
        </is>
      </c>
      <c r="F31" s="19" t="inlineStr">
        <is>
          <t>S-10302</t>
        </is>
      </c>
      <c r="G31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31" s="19" t="inlineStr">
        <is>
          <t>s-10302</t>
        </is>
      </c>
      <c r="I31" s="19" t="n">
        <v>1</v>
      </c>
      <c r="J31" s="20" t="n">
        <v>60.34</v>
      </c>
      <c r="K31" s="20" t="n">
        <v>29.15</v>
      </c>
      <c r="L31" s="20" t="n">
        <v>25.86</v>
      </c>
      <c r="M31" s="20" t="n">
        <v>0</v>
      </c>
      <c r="N31" s="20">
        <f>K31*0.08+L31*0.08</f>
        <v/>
      </c>
      <c r="O31" s="20">
        <f>-(K31*0.025+L31*0.025)</f>
        <v/>
      </c>
      <c r="P31" s="20">
        <f>32</f>
        <v/>
      </c>
      <c r="Q31" s="20">
        <f>J31+L31+N31+O31-P31-M31</f>
        <v/>
      </c>
    </row>
    <row r="32">
      <c r="A32" s="19" t="inlineStr">
        <is>
          <t>5.1-5.7</t>
        </is>
      </c>
      <c r="B32" s="19" t="inlineStr">
        <is>
          <t>PO-128-13834338540153973</t>
        </is>
      </c>
      <c r="C32" s="19" t="inlineStr">
        <is>
          <t>Delivered</t>
        </is>
      </c>
      <c r="D32" s="19" t="inlineStr">
        <is>
          <t>128-13834474855033973</t>
        </is>
      </c>
      <c r="E32" s="19" t="inlineStr">
        <is>
          <t>Delivered</t>
        </is>
      </c>
      <c r="F32" s="19" t="inlineStr">
        <is>
          <t>IE03CN</t>
        </is>
      </c>
      <c r="G32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32" s="19" t="inlineStr">
        <is>
          <t>NEGRO</t>
        </is>
      </c>
      <c r="I32" s="19" t="n">
        <v>1</v>
      </c>
      <c r="J32" s="20" t="n">
        <v>30</v>
      </c>
      <c r="K32" s="20" t="n">
        <v>31.69</v>
      </c>
      <c r="L32" s="20" t="n">
        <v>25.86</v>
      </c>
      <c r="M32" s="20" t="n">
        <v>0</v>
      </c>
      <c r="N32" s="20">
        <f>K32*0.08+L32*0.08</f>
        <v/>
      </c>
      <c r="O32" s="20">
        <f>-(K32*0.025+L32*0.025)</f>
        <v/>
      </c>
      <c r="P32" s="20">
        <f>32</f>
        <v/>
      </c>
      <c r="Q32" s="20">
        <f>J32+L32+N32+O32-P32-M32</f>
        <v/>
      </c>
    </row>
    <row r="33">
      <c r="A33" s="19" t="inlineStr">
        <is>
          <t>5.1-5.7</t>
        </is>
      </c>
      <c r="B33" s="19" t="inlineStr">
        <is>
          <t>PO-128-14009390439032992</t>
        </is>
      </c>
      <c r="C33" s="19" t="inlineStr">
        <is>
          <t>Delivered</t>
        </is>
      </c>
      <c r="D33" s="19" t="inlineStr">
        <is>
          <t>128-14009369467512992</t>
        </is>
      </c>
      <c r="E33" s="19" t="inlineStr">
        <is>
          <t>Delivered</t>
        </is>
      </c>
      <c r="F33" s="19" t="inlineStr">
        <is>
          <t>BS-01</t>
        </is>
      </c>
      <c r="G3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" s="19" t="inlineStr">
        <is>
          <t>BS-01</t>
        </is>
      </c>
      <c r="I33" s="19" t="n">
        <v>1</v>
      </c>
      <c r="J33" s="20" t="n">
        <v>270</v>
      </c>
      <c r="K33" s="20" t="n">
        <v>308.61</v>
      </c>
      <c r="L33" s="20" t="n">
        <v>0</v>
      </c>
      <c r="M33" s="20" t="n">
        <v>0</v>
      </c>
      <c r="N33" s="20">
        <f>K33*0.08+L33*0.08</f>
        <v/>
      </c>
      <c r="O33" s="20">
        <f>-(K33*0.025+L33*0.025)</f>
        <v/>
      </c>
      <c r="P33" s="20">
        <f>32</f>
        <v/>
      </c>
      <c r="Q33" s="20">
        <f>J33+L33+N33+O33-P33-M33</f>
        <v/>
      </c>
    </row>
    <row r="34">
      <c r="A34" s="19" t="inlineStr">
        <is>
          <t>5.1-5.7</t>
        </is>
      </c>
      <c r="B34" s="19" t="inlineStr">
        <is>
          <t>PO-128-14305602325110138</t>
        </is>
      </c>
      <c r="C34" s="19" t="inlineStr">
        <is>
          <t>Delivered</t>
        </is>
      </c>
      <c r="D34" s="19" t="inlineStr">
        <is>
          <t>128-14305628539510138</t>
        </is>
      </c>
      <c r="E34" s="19" t="inlineStr">
        <is>
          <t>Delivered</t>
        </is>
      </c>
      <c r="F34" s="19" t="inlineStr">
        <is>
          <t>IE01MB</t>
        </is>
      </c>
      <c r="G34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34" s="19" t="inlineStr">
        <is>
          <t>1 pieza</t>
        </is>
      </c>
      <c r="I34" s="19" t="n">
        <v>1</v>
      </c>
      <c r="J34" s="20" t="n">
        <v>17.4</v>
      </c>
      <c r="K34" s="20" t="n">
        <v>23.29</v>
      </c>
      <c r="L34" s="20" t="n">
        <v>25.86</v>
      </c>
      <c r="M34" s="20" t="n">
        <v>0</v>
      </c>
      <c r="N34" s="20">
        <f>K34*0.08+L34*0.08</f>
        <v/>
      </c>
      <c r="O34" s="20">
        <f>-(K34*0.025+L34*0.025)</f>
        <v/>
      </c>
      <c r="P34" s="20">
        <f>32</f>
        <v/>
      </c>
      <c r="Q34" s="20">
        <f>J34+L34+N34+O34-P34-M34</f>
        <v/>
      </c>
    </row>
    <row r="35">
      <c r="A35" s="19" t="inlineStr">
        <is>
          <t>5.1-5.7</t>
        </is>
      </c>
      <c r="B35" s="19" t="inlineStr">
        <is>
          <t>PO-128-13842517043834053</t>
        </is>
      </c>
      <c r="C35" s="19" t="inlineStr">
        <is>
          <t>Delivered</t>
        </is>
      </c>
      <c r="D35" s="19" t="inlineStr">
        <is>
          <t>128-13842475100794053</t>
        </is>
      </c>
      <c r="E35" s="19" t="inlineStr">
        <is>
          <t>Delivered</t>
        </is>
      </c>
      <c r="F35" s="19" t="inlineStr">
        <is>
          <t>BS-01</t>
        </is>
      </c>
      <c r="G3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" s="19" t="inlineStr">
        <is>
          <t>BS-01</t>
        </is>
      </c>
      <c r="I35" s="19" t="n">
        <v>1</v>
      </c>
      <c r="J35" s="20" t="n">
        <v>270</v>
      </c>
      <c r="K35" s="20" t="n">
        <v>308.61</v>
      </c>
      <c r="L35" s="20" t="n">
        <v>0</v>
      </c>
      <c r="M35" s="20" t="n">
        <v>0</v>
      </c>
      <c r="N35" s="20">
        <f>K35*0.08+L35*0.08</f>
        <v/>
      </c>
      <c r="O35" s="20">
        <f>-(K35*0.025+L35*0.025)</f>
        <v/>
      </c>
      <c r="P35" s="20">
        <f>32</f>
        <v/>
      </c>
      <c r="Q35" s="20">
        <f>J35+L35+N35+O35-P35-M35</f>
        <v/>
      </c>
    </row>
    <row r="36">
      <c r="A36" s="19" t="inlineStr">
        <is>
          <t>5.1-5.7</t>
        </is>
      </c>
      <c r="B36" s="19" t="inlineStr">
        <is>
          <t>PO-128-03084922235512637</t>
        </is>
      </c>
      <c r="C36" s="19" t="inlineStr">
        <is>
          <t>Delivered</t>
        </is>
      </c>
      <c r="D36" s="19" t="inlineStr">
        <is>
          <t>128-03084974664312637</t>
        </is>
      </c>
      <c r="E36" s="19" t="inlineStr">
        <is>
          <t>Delivered</t>
        </is>
      </c>
      <c r="F36" s="19" t="inlineStr">
        <is>
          <t>S-10302</t>
        </is>
      </c>
      <c r="G36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36" s="19" t="inlineStr">
        <is>
          <t>s-10302</t>
        </is>
      </c>
      <c r="I36" s="19" t="n">
        <v>1</v>
      </c>
      <c r="J36" s="20" t="n">
        <v>60.34</v>
      </c>
      <c r="K36" s="20" t="n">
        <v>29.15</v>
      </c>
      <c r="L36" s="20" t="n">
        <v>25.86</v>
      </c>
      <c r="M36" s="20" t="n">
        <v>0</v>
      </c>
      <c r="N36" s="20">
        <f>K36*0.08+L36*0.08</f>
        <v/>
      </c>
      <c r="O36" s="20">
        <f>-(K36*0.025+L36*0.025)</f>
        <v/>
      </c>
      <c r="P36" s="20">
        <f>32</f>
        <v/>
      </c>
      <c r="Q36" s="20">
        <f>J36+L36+N36+O36-P36-M36</f>
        <v/>
      </c>
    </row>
    <row r="37">
      <c r="A37" s="19" t="inlineStr">
        <is>
          <t>5.1-5.7</t>
        </is>
      </c>
      <c r="B37" s="19" t="inlineStr">
        <is>
          <t>PO-128-03230941778551703</t>
        </is>
      </c>
      <c r="C37" s="19" t="inlineStr">
        <is>
          <t>Delivered</t>
        </is>
      </c>
      <c r="D37" s="19" t="inlineStr">
        <is>
          <t>128-03230947021431703</t>
        </is>
      </c>
      <c r="E37" s="19" t="inlineStr">
        <is>
          <t>Delivered</t>
        </is>
      </c>
      <c r="F37" s="19" t="inlineStr">
        <is>
          <t>S-10302</t>
        </is>
      </c>
      <c r="G37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37" s="19" t="inlineStr">
        <is>
          <t>s-10302</t>
        </is>
      </c>
      <c r="I37" s="19" t="n">
        <v>1</v>
      </c>
      <c r="J37" s="20" t="n">
        <v>60.34</v>
      </c>
      <c r="K37" s="20" t="n">
        <v>72.25</v>
      </c>
      <c r="L37" s="20" t="n">
        <v>25.86</v>
      </c>
      <c r="M37" s="20" t="n">
        <v>0</v>
      </c>
      <c r="N37" s="20">
        <f>K37*0.08+L37*0.08</f>
        <v/>
      </c>
      <c r="O37" s="20">
        <f>-(K37*0.025+L37*0.025)</f>
        <v/>
      </c>
      <c r="P37" s="20">
        <f>32</f>
        <v/>
      </c>
      <c r="Q37" s="20">
        <f>J37+L37+N37+O37-P37-M37</f>
        <v/>
      </c>
    </row>
    <row r="38">
      <c r="A38" s="19" t="inlineStr">
        <is>
          <t>5.1-5.7</t>
        </is>
      </c>
      <c r="B38" s="19" t="inlineStr">
        <is>
          <t>PO-128-02814364877433096</t>
        </is>
      </c>
      <c r="C38" s="19" t="inlineStr">
        <is>
          <t>Delivered</t>
        </is>
      </c>
      <c r="D38" s="19" t="inlineStr">
        <is>
          <t>128-02814343905913096</t>
        </is>
      </c>
      <c r="E38" s="19" t="inlineStr">
        <is>
          <t>Delivered</t>
        </is>
      </c>
      <c r="F38" s="19" t="inlineStr">
        <is>
          <t>BS-09</t>
        </is>
      </c>
      <c r="G38" s="19" t="inlineStr">
        <is>
          <t>Altavoz de barra para PC con iluminación RGB, sonido de alta fidelidad y múltiples conexiones: Bluetooth, radio FM, USB, TF, AUX y TWS. Ideal para juegos, reuniones y cine en casa.</t>
        </is>
      </c>
      <c r="H38" s="19" t="inlineStr">
        <is>
          <t>NEGRO</t>
        </is>
      </c>
      <c r="I38" s="19" t="n">
        <v>1</v>
      </c>
      <c r="J38" s="20" t="n">
        <v>135</v>
      </c>
      <c r="K38" s="20" t="n">
        <v>163.4</v>
      </c>
      <c r="L38" s="20" t="n">
        <v>25.86</v>
      </c>
      <c r="M38" s="20" t="n">
        <v>0</v>
      </c>
      <c r="N38" s="20">
        <f>K38*0.08+L38*0.08</f>
        <v/>
      </c>
      <c r="O38" s="20">
        <f>-(K38*0.025+L38*0.025)</f>
        <v/>
      </c>
      <c r="P38" s="20">
        <f>32</f>
        <v/>
      </c>
      <c r="Q38" s="20">
        <f>J38+L38+N38+O38-P38-M38</f>
        <v/>
      </c>
    </row>
    <row r="39">
      <c r="A39" s="19" t="inlineStr">
        <is>
          <t>5.1-5.7</t>
        </is>
      </c>
      <c r="B39" s="19" t="inlineStr">
        <is>
          <t>PO-128-03008471296632965</t>
        </is>
      </c>
      <c r="C39" s="19" t="inlineStr">
        <is>
          <t>Delivered</t>
        </is>
      </c>
      <c r="D39" s="19" t="inlineStr">
        <is>
          <t>128-03008429353592965</t>
        </is>
      </c>
      <c r="E39" s="19" t="inlineStr">
        <is>
          <t>Delivered</t>
        </is>
      </c>
      <c r="F39" s="19" t="inlineStr">
        <is>
          <t>BS-01</t>
        </is>
      </c>
      <c r="G3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" s="19" t="inlineStr">
        <is>
          <t>BS-01</t>
        </is>
      </c>
      <c r="I39" s="19" t="n">
        <v>1</v>
      </c>
      <c r="J39" s="20" t="n">
        <v>270</v>
      </c>
      <c r="K39" s="20" t="n">
        <v>308.61</v>
      </c>
      <c r="L39" s="20" t="n">
        <v>0</v>
      </c>
      <c r="M39" s="20" t="n">
        <v>0</v>
      </c>
      <c r="N39" s="20">
        <f>K39*0.08+L39*0.08</f>
        <v/>
      </c>
      <c r="O39" s="20">
        <f>-(K39*0.025+L39*0.025)</f>
        <v/>
      </c>
      <c r="P39" s="20">
        <f>32</f>
        <v/>
      </c>
      <c r="Q39" s="20">
        <f>J39+L39+N39+O39-P39-M39</f>
        <v/>
      </c>
    </row>
    <row r="40">
      <c r="A40" s="19" t="inlineStr">
        <is>
          <t>5.1-5.7</t>
        </is>
      </c>
      <c r="B40" s="19" t="inlineStr">
        <is>
          <t>PO-128-03374278328950782</t>
        </is>
      </c>
      <c r="C40" s="19" t="inlineStr">
        <is>
          <t>Delivered</t>
        </is>
      </c>
      <c r="D40" s="19" t="inlineStr">
        <is>
          <t>128-03374320271990782</t>
        </is>
      </c>
      <c r="E40" s="19" t="inlineStr">
        <is>
          <t>Delivered</t>
        </is>
      </c>
      <c r="F40" s="19" t="inlineStr">
        <is>
          <t>BS-01</t>
        </is>
      </c>
      <c r="G4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" s="19" t="inlineStr">
        <is>
          <t>BS-01</t>
        </is>
      </c>
      <c r="I40" s="19" t="n">
        <v>1</v>
      </c>
      <c r="J40" s="20" t="n">
        <v>270</v>
      </c>
      <c r="K40" s="20" t="n">
        <v>308.61</v>
      </c>
      <c r="L40" s="20" t="n">
        <v>0</v>
      </c>
      <c r="M40" s="20" t="n">
        <v>0</v>
      </c>
      <c r="N40" s="20">
        <f>K40*0.08+L40*0.08</f>
        <v/>
      </c>
      <c r="O40" s="20">
        <f>-(K40*0.025+L40*0.025)</f>
        <v/>
      </c>
      <c r="P40" s="20">
        <f>32</f>
        <v/>
      </c>
      <c r="Q40" s="20">
        <f>J40+L40+N40+O40-P40-M40</f>
        <v/>
      </c>
    </row>
    <row r="41">
      <c r="A41" s="19" t="inlineStr">
        <is>
          <t>5.1-5.7</t>
        </is>
      </c>
      <c r="B41" s="19" t="inlineStr">
        <is>
          <t>PO-128-02829136312953136</t>
        </is>
      </c>
      <c r="C41" s="19" t="inlineStr">
        <is>
          <t>Delivered</t>
        </is>
      </c>
      <c r="D41" s="19" t="inlineStr">
        <is>
          <t>128-02829094369913136</t>
        </is>
      </c>
      <c r="E41" s="19" t="inlineStr">
        <is>
          <t>Delivered</t>
        </is>
      </c>
      <c r="F41" s="19" t="inlineStr">
        <is>
          <t>BS-09</t>
        </is>
      </c>
      <c r="G41" s="19" t="inlineStr">
        <is>
          <t>Altavoz de barra para PC con iluminación RGB, sonido de alta fidelidad y múltiples conexiones: Bluetooth, radio FM, USB, TF, AUX y TWS. Ideal para juegos, reuniones y cine en casa.</t>
        </is>
      </c>
      <c r="H41" s="19" t="inlineStr">
        <is>
          <t>NEGRO</t>
        </is>
      </c>
      <c r="I41" s="19" t="n">
        <v>1</v>
      </c>
      <c r="J41" s="20" t="n">
        <v>135</v>
      </c>
      <c r="K41" s="20" t="n">
        <v>120.3</v>
      </c>
      <c r="L41" s="20" t="n">
        <v>25.86</v>
      </c>
      <c r="M41" s="20" t="n">
        <v>0</v>
      </c>
      <c r="N41" s="20">
        <f>K41*0.08+L41*0.08</f>
        <v/>
      </c>
      <c r="O41" s="20">
        <f>-(K41*0.025+L41*0.025)</f>
        <v/>
      </c>
      <c r="P41" s="20">
        <f>32</f>
        <v/>
      </c>
      <c r="Q41" s="20">
        <f>J41+L41+N41+O41-P41-M41</f>
        <v/>
      </c>
    </row>
    <row r="42">
      <c r="A42" s="19" t="inlineStr">
        <is>
          <t>5.1-5.7</t>
        </is>
      </c>
      <c r="B42" s="19" t="inlineStr">
        <is>
          <t>PO-128-03379484385910817</t>
        </is>
      </c>
      <c r="C42" s="19" t="inlineStr">
        <is>
          <t>Delivered</t>
        </is>
      </c>
      <c r="D42" s="19" t="inlineStr">
        <is>
          <t>128-03379468657270817</t>
        </is>
      </c>
      <c r="E42" s="19" t="inlineStr">
        <is>
          <t>Delivered</t>
        </is>
      </c>
      <c r="F42" s="19" t="inlineStr">
        <is>
          <t>BS-01</t>
        </is>
      </c>
      <c r="G4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" s="19" t="inlineStr">
        <is>
          <t>BS-01</t>
        </is>
      </c>
      <c r="I42" s="19" t="n">
        <v>1</v>
      </c>
      <c r="J42" s="20" t="n">
        <v>270</v>
      </c>
      <c r="K42" s="20" t="n">
        <v>308.61</v>
      </c>
      <c r="L42" s="20" t="n">
        <v>0</v>
      </c>
      <c r="M42" s="20" t="n">
        <v>0</v>
      </c>
      <c r="N42" s="20">
        <f>K42*0.08+L42*0.08</f>
        <v/>
      </c>
      <c r="O42" s="20">
        <f>-(K42*0.025+L42*0.025)</f>
        <v/>
      </c>
      <c r="P42" s="20">
        <f>32</f>
        <v/>
      </c>
      <c r="Q42" s="20">
        <f>J42+L42+N42+O42-P42-M42</f>
        <v/>
      </c>
    </row>
    <row r="43">
      <c r="A43" s="19" t="inlineStr">
        <is>
          <t>5.1-5.7</t>
        </is>
      </c>
      <c r="B43" s="19" t="inlineStr">
        <is>
          <t>PO-128-03023666780793064</t>
        </is>
      </c>
      <c r="C43" s="19" t="inlineStr">
        <is>
          <t>Delivered</t>
        </is>
      </c>
      <c r="D43" s="19" t="inlineStr">
        <is>
          <t>128-03023708723833064</t>
        </is>
      </c>
      <c r="E43" s="19" t="inlineStr">
        <is>
          <t>Delivered</t>
        </is>
      </c>
      <c r="F43" s="19" t="inlineStr">
        <is>
          <t>BS-09</t>
        </is>
      </c>
      <c r="G43" s="19" t="inlineStr">
        <is>
          <t>Altavoz de barra para PC con iluminación RGB, sonido de alta fidelidad y múltiples conexiones: Bluetooth, radio FM, USB, TF, AUX y TWS. Ideal para juegos, reuniones y cine en casa.</t>
        </is>
      </c>
      <c r="H43" s="19" t="inlineStr">
        <is>
          <t>NEGRO</t>
        </is>
      </c>
      <c r="I43" s="19" t="n">
        <v>2</v>
      </c>
      <c r="J43" s="20" t="n">
        <v>270</v>
      </c>
      <c r="K43" s="20" t="n">
        <v>285.96</v>
      </c>
      <c r="L43" s="20" t="n">
        <v>0</v>
      </c>
      <c r="M43" s="20" t="n">
        <v>0</v>
      </c>
      <c r="N43" s="20">
        <f>K43*0.08+L43*0.08</f>
        <v/>
      </c>
      <c r="O43" s="20">
        <f>-(K43*0.025+L43*0.025)</f>
        <v/>
      </c>
      <c r="P43" s="20">
        <f>32</f>
        <v/>
      </c>
      <c r="Q43" s="20">
        <f>J43+L43+N43+O43-P43-M43</f>
        <v/>
      </c>
    </row>
    <row r="44">
      <c r="A44" s="19" t="inlineStr">
        <is>
          <t>5.1-5.7</t>
        </is>
      </c>
      <c r="B44" s="19" t="inlineStr">
        <is>
          <t>PO-128-03144402524791192</t>
        </is>
      </c>
      <c r="C44" s="19" t="inlineStr">
        <is>
          <t>Delivered</t>
        </is>
      </c>
      <c r="D44" s="19" t="inlineStr">
        <is>
          <t>128-03144413010551192</t>
        </is>
      </c>
      <c r="E44" s="19" t="inlineStr">
        <is>
          <t>Delivered</t>
        </is>
      </c>
      <c r="F44" s="19" t="inlineStr">
        <is>
          <t>PW01CN</t>
        </is>
      </c>
      <c r="G44" s="19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H44" s="19" t="inlineStr">
        <is>
          <t>NEGRO</t>
        </is>
      </c>
      <c r="I44" s="19" t="n">
        <v>5</v>
      </c>
      <c r="J44" s="20" t="n">
        <v>600</v>
      </c>
      <c r="K44" s="20" t="n">
        <v>780.3</v>
      </c>
      <c r="L44" s="20" t="n">
        <v>0</v>
      </c>
      <c r="M44" s="20" t="n">
        <v>0</v>
      </c>
      <c r="N44" s="20">
        <f>K44*0.08+L44*0.08</f>
        <v/>
      </c>
      <c r="O44" s="20">
        <f>-(K44*0.025+L44*0.025)</f>
        <v/>
      </c>
      <c r="P44" s="20">
        <f>32</f>
        <v/>
      </c>
      <c r="Q44" s="20">
        <f>J44+L44+N44+O44-P44-M44</f>
        <v/>
      </c>
    </row>
    <row r="45">
      <c r="A45" s="19" t="inlineStr">
        <is>
          <t>5.1-5.7</t>
        </is>
      </c>
      <c r="B45" s="19" t="inlineStr">
        <is>
          <t>PO-128-03144402524791192</t>
        </is>
      </c>
      <c r="C45" s="19" t="inlineStr">
        <is>
          <t>Delivered</t>
        </is>
      </c>
      <c r="D45" s="19" t="inlineStr">
        <is>
          <t>128-03144397281911192</t>
        </is>
      </c>
      <c r="E45" s="19" t="inlineStr">
        <is>
          <t>Delivered</t>
        </is>
      </c>
      <c r="F45" s="19" t="inlineStr">
        <is>
          <t>PW01CB</t>
        </is>
      </c>
      <c r="G45" s="19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H45" s="19" t="inlineStr">
        <is>
          <t>BLANCO</t>
        </is>
      </c>
      <c r="I45" s="19" t="n">
        <v>5</v>
      </c>
      <c r="J45" s="20" t="n">
        <v>600</v>
      </c>
      <c r="K45" s="20" t="n">
        <v>780.3</v>
      </c>
      <c r="L45" s="20" t="n">
        <v>0</v>
      </c>
      <c r="M45" s="20" t="n">
        <v>0</v>
      </c>
      <c r="N45" s="20">
        <f>K45*0.08+L45*0.08</f>
        <v/>
      </c>
      <c r="O45" s="20">
        <f>-(K45*0.025+L45*0.025)</f>
        <v/>
      </c>
      <c r="P45" s="20">
        <f>32</f>
        <v/>
      </c>
      <c r="Q45" s="20">
        <f>J45+L45+N45+O45-P45-M45</f>
        <v/>
      </c>
    </row>
    <row r="46">
      <c r="A46" s="19" t="inlineStr">
        <is>
          <t>5.1-5.7</t>
        </is>
      </c>
      <c r="B46" s="19" t="inlineStr">
        <is>
          <t>PO-128-03435837440630609</t>
        </is>
      </c>
      <c r="C46" s="19" t="inlineStr">
        <is>
          <t>Delivered</t>
        </is>
      </c>
      <c r="D46" s="19" t="inlineStr">
        <is>
          <t>128-03435821711990609</t>
        </is>
      </c>
      <c r="E46" s="19" t="inlineStr">
        <is>
          <t>Delivered</t>
        </is>
      </c>
      <c r="F46" s="19" t="inlineStr">
        <is>
          <t>IE03CN</t>
        </is>
      </c>
      <c r="G46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6" s="19" t="inlineStr">
        <is>
          <t>NEGRO</t>
        </is>
      </c>
      <c r="I46" s="19" t="n">
        <v>1</v>
      </c>
      <c r="J46" s="20" t="n">
        <v>30</v>
      </c>
      <c r="K46" s="20" t="n">
        <v>39.6</v>
      </c>
      <c r="L46" s="20" t="n">
        <v>25.86</v>
      </c>
      <c r="M46" s="20" t="n">
        <v>0</v>
      </c>
      <c r="N46" s="20">
        <f>K46*0.08+L46*0.08</f>
        <v/>
      </c>
      <c r="O46" s="20">
        <f>-(K46*0.025+L46*0.025)</f>
        <v/>
      </c>
      <c r="P46" s="20">
        <f>32</f>
        <v/>
      </c>
      <c r="Q46" s="20">
        <f>J46+L46+N46+O46-P46-M46</f>
        <v/>
      </c>
    </row>
    <row r="47">
      <c r="A47" s="19" t="inlineStr">
        <is>
          <t>5.1-5.7</t>
        </is>
      </c>
      <c r="B47" s="19" t="inlineStr">
        <is>
          <t>PO-128-03254685368951625</t>
        </is>
      </c>
      <c r="C47" s="19" t="inlineStr">
        <is>
          <t>Delivered</t>
        </is>
      </c>
      <c r="D47" s="19" t="inlineStr">
        <is>
          <t>128-03254643425911625</t>
        </is>
      </c>
      <c r="E47" s="19" t="inlineStr">
        <is>
          <t>Delivered</t>
        </is>
      </c>
      <c r="F47" s="19" t="inlineStr">
        <is>
          <t>BS-01</t>
        </is>
      </c>
      <c r="G4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" s="19" t="inlineStr">
        <is>
          <t>BS-01</t>
        </is>
      </c>
      <c r="I47" s="19" t="n">
        <v>1</v>
      </c>
      <c r="J47" s="20" t="n">
        <v>270</v>
      </c>
      <c r="K47" s="20" t="n">
        <v>308.61</v>
      </c>
      <c r="L47" s="20" t="n">
        <v>0</v>
      </c>
      <c r="M47" s="20" t="n">
        <v>0</v>
      </c>
      <c r="N47" s="20">
        <f>K47*0.08+L47*0.08</f>
        <v/>
      </c>
      <c r="O47" s="20">
        <f>-(K47*0.025+L47*0.025)</f>
        <v/>
      </c>
      <c r="P47" s="20">
        <f>32</f>
        <v/>
      </c>
      <c r="Q47" s="20">
        <f>J47+L47+N47+O47-P47-M47</f>
        <v/>
      </c>
    </row>
    <row r="48">
      <c r="A48" s="19" t="inlineStr">
        <is>
          <t>5.1-5.7</t>
        </is>
      </c>
      <c r="B48" s="19" t="inlineStr">
        <is>
          <t>PO-128-18617760021111252</t>
        </is>
      </c>
      <c r="C48" s="19" t="inlineStr">
        <is>
          <t>Delivered</t>
        </is>
      </c>
      <c r="D48" s="19" t="inlineStr">
        <is>
          <t>128-18617801964151252</t>
        </is>
      </c>
      <c r="E48" s="19" t="inlineStr">
        <is>
          <t>Delivered</t>
        </is>
      </c>
      <c r="F48" s="19" t="inlineStr">
        <is>
          <t>BS-01</t>
        </is>
      </c>
      <c r="G4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" s="19" t="inlineStr">
        <is>
          <t>BS-01</t>
        </is>
      </c>
      <c r="I48" s="19" t="n">
        <v>1</v>
      </c>
      <c r="J48" s="20" t="n">
        <v>270</v>
      </c>
      <c r="K48" s="20" t="n">
        <v>265.51</v>
      </c>
      <c r="L48" s="20" t="n">
        <v>0</v>
      </c>
      <c r="M48" s="20" t="n">
        <v>0</v>
      </c>
      <c r="N48" s="20">
        <f>K48*0.08+L48*0.08</f>
        <v/>
      </c>
      <c r="O48" s="20">
        <f>-(K48*0.025+L48*0.025)</f>
        <v/>
      </c>
      <c r="P48" s="20">
        <f>32</f>
        <v/>
      </c>
      <c r="Q48" s="20">
        <f>J48+L48+N48+O48-P48-M48</f>
        <v/>
      </c>
    </row>
    <row r="49">
      <c r="A49" s="19" t="inlineStr">
        <is>
          <t>5.1-5.7</t>
        </is>
      </c>
      <c r="B49" s="19" t="inlineStr">
        <is>
          <t>PO-128-19108470538872425</t>
        </is>
      </c>
      <c r="C49" s="19" t="inlineStr">
        <is>
          <t>Delivered</t>
        </is>
      </c>
      <c r="D49" s="19" t="inlineStr">
        <is>
          <t>128-19108428595832425</t>
        </is>
      </c>
      <c r="E49" s="19" t="inlineStr">
        <is>
          <t>Delivered</t>
        </is>
      </c>
      <c r="F49" s="19" t="inlineStr">
        <is>
          <t>S-10302</t>
        </is>
      </c>
      <c r="G49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49" s="19" t="inlineStr">
        <is>
          <t>s-10302</t>
        </is>
      </c>
      <c r="I49" s="19" t="n">
        <v>1</v>
      </c>
      <c r="J49" s="20" t="n">
        <v>60.34</v>
      </c>
      <c r="K49" s="20" t="n">
        <v>72.23999999999999</v>
      </c>
      <c r="L49" s="20" t="n">
        <v>25.86</v>
      </c>
      <c r="M49" s="20" t="n">
        <v>0</v>
      </c>
      <c r="N49" s="20">
        <f>K49*0.08+L49*0.08</f>
        <v/>
      </c>
      <c r="O49" s="20">
        <f>-(K49*0.025+L49*0.025)</f>
        <v/>
      </c>
      <c r="P49" s="20">
        <f>32</f>
        <v/>
      </c>
      <c r="Q49" s="20">
        <f>J49+L49+N49+O49-P49-M49</f>
        <v/>
      </c>
    </row>
    <row r="50">
      <c r="A50" s="19" t="inlineStr">
        <is>
          <t>5.1-5.7</t>
        </is>
      </c>
      <c r="B50" s="19" t="inlineStr">
        <is>
          <t>PO-128-18797035377270057</t>
        </is>
      </c>
      <c r="C50" s="19" t="inlineStr">
        <is>
          <t>Delivered</t>
        </is>
      </c>
      <c r="D50" s="19" t="inlineStr">
        <is>
          <t>128-18797103534710057</t>
        </is>
      </c>
      <c r="E50" s="19" t="inlineStr">
        <is>
          <t>Delivered</t>
        </is>
      </c>
      <c r="F50" s="19" t="inlineStr">
        <is>
          <t>S-10302</t>
        </is>
      </c>
      <c r="G50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50" s="19" t="inlineStr">
        <is>
          <t>s-10302</t>
        </is>
      </c>
      <c r="I50" s="19" t="n">
        <v>1</v>
      </c>
      <c r="J50" s="20" t="n">
        <v>60.34</v>
      </c>
      <c r="K50" s="20" t="n">
        <v>72.23999999999999</v>
      </c>
      <c r="L50" s="20" t="n">
        <v>25.86</v>
      </c>
      <c r="M50" s="20" t="n">
        <v>0</v>
      </c>
      <c r="N50" s="20">
        <f>K50*0.08+L50*0.08</f>
        <v/>
      </c>
      <c r="O50" s="20">
        <f>-(K50*0.025+L50*0.025)</f>
        <v/>
      </c>
      <c r="P50" s="20">
        <f>32</f>
        <v/>
      </c>
      <c r="Q50" s="20">
        <f>J50+L50+N50+O50-P50-M50</f>
        <v/>
      </c>
    </row>
    <row r="51">
      <c r="A51" s="19" t="inlineStr">
        <is>
          <t>5.1-5.7</t>
        </is>
      </c>
      <c r="B51" s="19" t="inlineStr">
        <is>
          <t>PO-128-18696793897591743</t>
        </is>
      </c>
      <c r="C51" s="19" t="inlineStr">
        <is>
          <t>Delivered</t>
        </is>
      </c>
      <c r="D51" s="19" t="inlineStr">
        <is>
          <t>128-18696846326391743</t>
        </is>
      </c>
      <c r="E51" s="19" t="inlineStr">
        <is>
          <t>Delivered</t>
        </is>
      </c>
      <c r="F51" s="19" t="inlineStr">
        <is>
          <t>S-10302</t>
        </is>
      </c>
      <c r="G51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51" s="19" t="inlineStr">
        <is>
          <t>s-10302</t>
        </is>
      </c>
      <c r="I51" s="19" t="n">
        <v>1</v>
      </c>
      <c r="J51" s="20" t="n">
        <v>60.34</v>
      </c>
      <c r="K51" s="20" t="n">
        <v>72.23999999999999</v>
      </c>
      <c r="L51" s="20" t="n">
        <v>25.86</v>
      </c>
      <c r="M51" s="20" t="n">
        <v>0</v>
      </c>
      <c r="N51" s="20">
        <f>K51*0.08+L51*0.08</f>
        <v/>
      </c>
      <c r="O51" s="20">
        <f>-(K51*0.025+L51*0.025)</f>
        <v/>
      </c>
      <c r="P51" s="20">
        <f>32</f>
        <v/>
      </c>
      <c r="Q51" s="20">
        <f>J51+L51+N51+O51-P51-M51</f>
        <v/>
      </c>
    </row>
    <row r="52">
      <c r="A52" s="19" t="inlineStr">
        <is>
          <t>5.1-5.7</t>
        </is>
      </c>
      <c r="B52" s="19" t="inlineStr">
        <is>
          <t>PO-128-18579110595191290</t>
        </is>
      </c>
      <c r="C52" s="19" t="inlineStr">
        <is>
          <t>Delivered</t>
        </is>
      </c>
      <c r="D52" s="19" t="inlineStr">
        <is>
          <t>128-18579215452791290</t>
        </is>
      </c>
      <c r="E52" s="19" t="inlineStr">
        <is>
          <t>Delivered</t>
        </is>
      </c>
      <c r="F52" s="19" t="inlineStr">
        <is>
          <t>BS-01</t>
        </is>
      </c>
      <c r="G5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" s="19" t="inlineStr">
        <is>
          <t>BS-01</t>
        </is>
      </c>
      <c r="I52" s="19" t="n">
        <v>1</v>
      </c>
      <c r="J52" s="20" t="n">
        <v>270</v>
      </c>
      <c r="K52" s="20" t="n">
        <v>246.89</v>
      </c>
      <c r="L52" s="20" t="n">
        <v>0</v>
      </c>
      <c r="M52" s="20" t="n">
        <v>0</v>
      </c>
      <c r="N52" s="20">
        <f>K52*0.08+L52*0.08</f>
        <v/>
      </c>
      <c r="O52" s="20">
        <f>-(K52*0.025+L52*0.025)</f>
        <v/>
      </c>
      <c r="P52" s="20">
        <f>32</f>
        <v/>
      </c>
      <c r="Q52" s="20">
        <f>J52+L52+N52+O52-P52-M52</f>
        <v/>
      </c>
    </row>
    <row r="53">
      <c r="A53" s="19" t="inlineStr">
        <is>
          <t>5.1-5.7</t>
        </is>
      </c>
      <c r="B53" s="19" t="inlineStr">
        <is>
          <t>PO-128-18759843154550343</t>
        </is>
      </c>
      <c r="C53" s="19" t="inlineStr">
        <is>
          <t>Delivered</t>
        </is>
      </c>
      <c r="D53" s="19" t="inlineStr">
        <is>
          <t>128-18759885097590343</t>
        </is>
      </c>
      <c r="E53" s="19" t="inlineStr">
        <is>
          <t>Delivered</t>
        </is>
      </c>
      <c r="F53" s="19" t="inlineStr">
        <is>
          <t>IE01MB</t>
        </is>
      </c>
      <c r="G53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3" s="19" t="inlineStr">
        <is>
          <t>1 pieza</t>
        </is>
      </c>
      <c r="I53" s="19" t="n">
        <v>1</v>
      </c>
      <c r="J53" s="20" t="n">
        <v>22</v>
      </c>
      <c r="K53" s="20" t="n">
        <v>27.89</v>
      </c>
      <c r="L53" s="20" t="n">
        <v>25.86</v>
      </c>
      <c r="M53" s="20" t="n">
        <v>0</v>
      </c>
      <c r="N53" s="20">
        <f>K53*0.08+L53*0.08</f>
        <v/>
      </c>
      <c r="O53" s="20">
        <f>-(K53*0.025+L53*0.025)</f>
        <v/>
      </c>
      <c r="P53" s="20">
        <f>32</f>
        <v/>
      </c>
      <c r="Q53" s="20">
        <f>J53+L53+N53+O53-P53-M53</f>
        <v/>
      </c>
    </row>
    <row r="54">
      <c r="A54" s="19" t="inlineStr">
        <is>
          <t>5.1-5.7</t>
        </is>
      </c>
      <c r="B54" s="19" t="inlineStr">
        <is>
          <t>PO-128-19151052452472171</t>
        </is>
      </c>
      <c r="C54" s="19" t="inlineStr">
        <is>
          <t>Delivered</t>
        </is>
      </c>
      <c r="D54" s="19" t="inlineStr">
        <is>
          <t>128-19151073423992171</t>
        </is>
      </c>
      <c r="E54" s="19" t="inlineStr">
        <is>
          <t>Delivered</t>
        </is>
      </c>
      <c r="F54" s="19" t="inlineStr">
        <is>
          <t>BS-01</t>
        </is>
      </c>
      <c r="G5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" s="19" t="inlineStr">
        <is>
          <t>BS-01</t>
        </is>
      </c>
      <c r="I54" s="19" t="n">
        <v>1</v>
      </c>
      <c r="J54" s="20" t="n">
        <v>273</v>
      </c>
      <c r="K54" s="20" t="n">
        <v>249.48</v>
      </c>
      <c r="L54" s="20" t="n">
        <v>0</v>
      </c>
      <c r="M54" s="20" t="n">
        <v>0</v>
      </c>
      <c r="N54" s="20">
        <f>K54*0.08+L54*0.08</f>
        <v/>
      </c>
      <c r="O54" s="20">
        <f>-(K54*0.025+L54*0.025)</f>
        <v/>
      </c>
      <c r="P54" s="20">
        <f>32</f>
        <v/>
      </c>
      <c r="Q54" s="20">
        <f>J54+L54+N54+O54-P54-M54</f>
        <v/>
      </c>
    </row>
    <row r="55">
      <c r="A55" s="19" t="inlineStr">
        <is>
          <t>5.1-5.7</t>
        </is>
      </c>
      <c r="B55" s="19" t="inlineStr">
        <is>
          <t>PO-128-18587499551351368</t>
        </is>
      </c>
      <c r="C55" s="19" t="inlineStr">
        <is>
          <t>Delivered</t>
        </is>
      </c>
      <c r="D55" s="19" t="inlineStr">
        <is>
          <t>128-18587604408951368</t>
        </is>
      </c>
      <c r="E55" s="19" t="inlineStr">
        <is>
          <t>Delivered</t>
        </is>
      </c>
      <c r="F55" s="19" t="inlineStr">
        <is>
          <t>IE03CN</t>
        </is>
      </c>
      <c r="G55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55" s="19" t="inlineStr">
        <is>
          <t>NEGRO</t>
        </is>
      </c>
      <c r="I55" s="19" t="n">
        <v>1</v>
      </c>
      <c r="J55" s="20" t="n">
        <v>40</v>
      </c>
      <c r="K55" s="20" t="n">
        <v>49.59</v>
      </c>
      <c r="L55" s="20" t="n">
        <v>25.86</v>
      </c>
      <c r="M55" s="20" t="n">
        <v>0</v>
      </c>
      <c r="N55" s="20">
        <f>K55*0.08+L55*0.08</f>
        <v/>
      </c>
      <c r="O55" s="20">
        <f>-(K55*0.025+L55*0.025)</f>
        <v/>
      </c>
      <c r="P55" s="20">
        <f>32</f>
        <v/>
      </c>
      <c r="Q55" s="20">
        <f>J55+L55+N55+O55-P55-M55</f>
        <v/>
      </c>
    </row>
    <row r="56">
      <c r="A56" s="19" t="inlineStr">
        <is>
          <t>5.1-5.7</t>
        </is>
      </c>
      <c r="B56" s="19" t="inlineStr">
        <is>
          <t>PO-128-18705650432631560</t>
        </is>
      </c>
      <c r="C56" s="19" t="inlineStr">
        <is>
          <t>Delivered</t>
        </is>
      </c>
      <c r="D56" s="19" t="inlineStr">
        <is>
          <t>128-18705618975351560</t>
        </is>
      </c>
      <c r="E56" s="19" t="inlineStr">
        <is>
          <t>Delivered</t>
        </is>
      </c>
      <c r="F56" s="19" t="inlineStr">
        <is>
          <t>BS-07G</t>
        </is>
      </c>
      <c r="G56" s="19" t="inlineStr">
        <is>
          <t>Altavoz Inalámbrico Portátil con Diseño Retro, Bajos Optimizados y Sonido 3D Envolvente,Compatible con TF/FM/AUX, Conexión BT TWS. Ideal para Home Theater, Fiestas y Regalos​</t>
        </is>
      </c>
      <c r="H56" s="19" t="inlineStr">
        <is>
          <t>BS-07G</t>
        </is>
      </c>
      <c r="I56" s="19" t="n">
        <v>2</v>
      </c>
      <c r="J56" s="20" t="n">
        <v>264</v>
      </c>
      <c r="K56" s="20" t="n">
        <v>226.03</v>
      </c>
      <c r="L56" s="20" t="n">
        <v>0</v>
      </c>
      <c r="M56" s="20" t="n">
        <v>0</v>
      </c>
      <c r="N56" s="20">
        <f>K56*0.08+L56*0.08</f>
        <v/>
      </c>
      <c r="O56" s="20">
        <f>-(K56*0.025+L56*0.025)</f>
        <v/>
      </c>
      <c r="P56" s="20">
        <f>32</f>
        <v/>
      </c>
      <c r="Q56" s="20">
        <f>J56+L56+N56+O56-P56-M56</f>
        <v/>
      </c>
    </row>
    <row r="57">
      <c r="A57" s="19" t="inlineStr">
        <is>
          <t>5.1-5.7</t>
        </is>
      </c>
      <c r="B57" s="19" t="inlineStr">
        <is>
          <t>PO-128-18622341069431035</t>
        </is>
      </c>
      <c r="C57" s="19" t="inlineStr">
        <is>
          <t>Delivered</t>
        </is>
      </c>
      <c r="D57" s="19" t="inlineStr">
        <is>
          <t>128-18622299126391035</t>
        </is>
      </c>
      <c r="E57" s="19" t="inlineStr">
        <is>
          <t>Delivered</t>
        </is>
      </c>
      <c r="F57" s="19" t="inlineStr">
        <is>
          <t>BS-07G</t>
        </is>
      </c>
      <c r="G57" s="19" t="inlineStr">
        <is>
          <t>Altavoz Inalámbrico Portátil con Diseño Retro, Bajos Optimizados y Sonido 3D Envolvente,Compatible con TF/FM/AUX, Conexión BT TWS. Ideal para Home Theater, Fiestas y Regalos​</t>
        </is>
      </c>
      <c r="H57" s="19" t="inlineStr">
        <is>
          <t>BS-07G</t>
        </is>
      </c>
      <c r="I57" s="19" t="n">
        <v>2</v>
      </c>
      <c r="J57" s="20" t="n">
        <v>264</v>
      </c>
      <c r="K57" s="20" t="n">
        <v>301.36</v>
      </c>
      <c r="L57" s="20" t="n">
        <v>0</v>
      </c>
      <c r="M57" s="20" t="n">
        <v>0</v>
      </c>
      <c r="N57" s="20">
        <f>K57*0.08+L57*0.08</f>
        <v/>
      </c>
      <c r="O57" s="20">
        <f>-(K57*0.025+L57*0.025)</f>
        <v/>
      </c>
      <c r="P57" s="20">
        <f>32</f>
        <v/>
      </c>
      <c r="Q57" s="20">
        <f>J57+L57+N57+O57-P57-M57</f>
        <v/>
      </c>
    </row>
    <row r="58">
      <c r="A58" s="19" t="inlineStr">
        <is>
          <t>5.1-5.7</t>
        </is>
      </c>
      <c r="B58" s="19" t="inlineStr">
        <is>
          <t>PO-128-19161006295673006</t>
        </is>
      </c>
      <c r="C58" s="19" t="inlineStr">
        <is>
          <t>Delivered</t>
        </is>
      </c>
      <c r="D58" s="19" t="inlineStr">
        <is>
          <t>128-19160985324153006</t>
        </is>
      </c>
      <c r="E58" s="19" t="inlineStr">
        <is>
          <t>Delivered</t>
        </is>
      </c>
      <c r="F58" s="19" t="inlineStr">
        <is>
          <t>GA01UN</t>
        </is>
      </c>
      <c r="G58" s="19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H58" s="19" t="inlineStr">
        <is>
          <t>1 pieza</t>
        </is>
      </c>
      <c r="I58" s="19" t="n">
        <v>1</v>
      </c>
      <c r="J58" s="20" t="n">
        <v>32</v>
      </c>
      <c r="K58" s="20" t="n">
        <v>17.69</v>
      </c>
      <c r="L58" s="20" t="n">
        <v>25.86</v>
      </c>
      <c r="M58" s="20" t="n">
        <v>2.18</v>
      </c>
      <c r="N58" s="20">
        <f>K58*0.08+L58*0.08</f>
        <v/>
      </c>
      <c r="O58" s="20">
        <f>-(K58*0.025+L58*0.025)</f>
        <v/>
      </c>
      <c r="P58" s="20">
        <f>32</f>
        <v/>
      </c>
      <c r="Q58" s="20">
        <f>J58+L58+N58+O58-P58-M58</f>
        <v/>
      </c>
    </row>
    <row r="59">
      <c r="A59" s="19" t="inlineStr">
        <is>
          <t>5.1-5.7</t>
        </is>
      </c>
      <c r="B59" s="19" t="inlineStr">
        <is>
          <t>PO-128-08132683346552244</t>
        </is>
      </c>
      <c r="C59" s="19" t="inlineStr">
        <is>
          <t>Delivered</t>
        </is>
      </c>
      <c r="D59" s="19" t="inlineStr">
        <is>
          <t>128-08132691866232244</t>
        </is>
      </c>
      <c r="E59" s="19" t="inlineStr">
        <is>
          <t>Delivered</t>
        </is>
      </c>
      <c r="F59" s="19" t="inlineStr">
        <is>
          <t>IE01MB</t>
        </is>
      </c>
      <c r="G59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9" s="19" t="inlineStr">
        <is>
          <t>1 pieza</t>
        </is>
      </c>
      <c r="I59" s="19" t="n">
        <v>2</v>
      </c>
      <c r="J59" s="20" t="n">
        <v>44</v>
      </c>
      <c r="K59" s="20" t="n">
        <v>53.67</v>
      </c>
      <c r="L59" s="20" t="n">
        <v>25.86</v>
      </c>
      <c r="M59" s="20" t="n">
        <v>0</v>
      </c>
      <c r="N59" s="20">
        <f>K59*0.08+L59*0.08</f>
        <v/>
      </c>
      <c r="O59" s="20">
        <f>-(K59*0.025+L59*0.025)</f>
        <v/>
      </c>
      <c r="P59" s="20">
        <f>32</f>
        <v/>
      </c>
      <c r="Q59" s="20">
        <f>J59+L59+N59+O59-P59-M59</f>
        <v/>
      </c>
    </row>
    <row r="60">
      <c r="A60" s="19" t="inlineStr">
        <is>
          <t>5.1-5.7</t>
        </is>
      </c>
      <c r="B60" s="19" t="inlineStr">
        <is>
          <t>PO-128-07818733118070917</t>
        </is>
      </c>
      <c r="C60" s="19" t="inlineStr">
        <is>
          <t>Delivered</t>
        </is>
      </c>
      <c r="D60" s="19" t="inlineStr">
        <is>
          <t>128-07818704282230917</t>
        </is>
      </c>
      <c r="E60" s="19" t="inlineStr">
        <is>
          <t>Delivered</t>
        </is>
      </c>
      <c r="F60" s="19" t="inlineStr">
        <is>
          <t>IE01MB</t>
        </is>
      </c>
      <c r="G60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60" s="19" t="inlineStr">
        <is>
          <t>1 pieza</t>
        </is>
      </c>
      <c r="I60" s="19" t="n">
        <v>1</v>
      </c>
      <c r="J60" s="20" t="n">
        <v>22</v>
      </c>
      <c r="K60" s="20" t="n">
        <v>27.89</v>
      </c>
      <c r="L60" s="20" t="n">
        <v>25.86</v>
      </c>
      <c r="M60" s="20" t="n">
        <v>0</v>
      </c>
      <c r="N60" s="20">
        <f>K60*0.08+L60*0.08</f>
        <v/>
      </c>
      <c r="O60" s="20">
        <f>-(K60*0.025+L60*0.025)</f>
        <v/>
      </c>
      <c r="P60" s="20">
        <f>32</f>
        <v/>
      </c>
      <c r="Q60" s="20">
        <f>J60+L60+N60+O60-P60-M60</f>
        <v/>
      </c>
    </row>
    <row r="61">
      <c r="A61" s="19" t="inlineStr">
        <is>
          <t>5.1-5.7</t>
        </is>
      </c>
      <c r="B61" s="19" t="inlineStr">
        <is>
          <t>PO-128-07568645745271446</t>
        </is>
      </c>
      <c r="C61" s="19" t="inlineStr">
        <is>
          <t>Delivered</t>
        </is>
      </c>
      <c r="D61" s="19" t="inlineStr">
        <is>
          <t>128-07568666716791446</t>
        </is>
      </c>
      <c r="E61" s="19" t="inlineStr">
        <is>
          <t>Delivered</t>
        </is>
      </c>
      <c r="F61" s="19" t="inlineStr">
        <is>
          <t>BS-01</t>
        </is>
      </c>
      <c r="G6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" s="19" t="inlineStr">
        <is>
          <t>BS-01</t>
        </is>
      </c>
      <c r="I61" s="19" t="n">
        <v>1</v>
      </c>
      <c r="J61" s="20" t="n">
        <v>273</v>
      </c>
      <c r="K61" s="20" t="n">
        <v>249.29</v>
      </c>
      <c r="L61" s="20" t="n">
        <v>0</v>
      </c>
      <c r="M61" s="20" t="n">
        <v>0</v>
      </c>
      <c r="N61" s="20">
        <f>K61*0.08+L61*0.08</f>
        <v/>
      </c>
      <c r="O61" s="20">
        <f>-(K61*0.025+L61*0.025)</f>
        <v/>
      </c>
      <c r="P61" s="20">
        <f>32</f>
        <v/>
      </c>
      <c r="Q61" s="20">
        <f>J61+L61+N61+O61-P61-M61</f>
        <v/>
      </c>
    </row>
    <row r="62">
      <c r="A62" s="19" t="inlineStr">
        <is>
          <t>5.1-5.7</t>
        </is>
      </c>
      <c r="B62" s="19" t="inlineStr">
        <is>
          <t>PO-128-08043541258873801</t>
        </is>
      </c>
      <c r="C62" s="19" t="inlineStr">
        <is>
          <t>Delivered</t>
        </is>
      </c>
      <c r="D62" s="19" t="inlineStr">
        <is>
          <t>128-08043562230393801</t>
        </is>
      </c>
      <c r="E62" s="19" t="inlineStr">
        <is>
          <t>Delivered</t>
        </is>
      </c>
      <c r="F62" s="19" t="inlineStr">
        <is>
          <t>IE01MB</t>
        </is>
      </c>
      <c r="G62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62" s="19" t="inlineStr">
        <is>
          <t>1 pieza</t>
        </is>
      </c>
      <c r="I62" s="19" t="n">
        <v>2</v>
      </c>
      <c r="J62" s="20" t="n">
        <v>44</v>
      </c>
      <c r="K62" s="20" t="n">
        <v>55.78</v>
      </c>
      <c r="L62" s="20" t="n">
        <v>25.86</v>
      </c>
      <c r="M62" s="20" t="n">
        <v>0</v>
      </c>
      <c r="N62" s="20">
        <f>K62*0.08+L62*0.08</f>
        <v/>
      </c>
      <c r="O62" s="20">
        <f>-(K62*0.025+L62*0.025)</f>
        <v/>
      </c>
      <c r="P62" s="20">
        <f>32</f>
        <v/>
      </c>
      <c r="Q62" s="20">
        <f>J62+L62+N62+O62-P62-M62</f>
        <v/>
      </c>
    </row>
    <row r="63">
      <c r="A63" s="19" t="inlineStr">
        <is>
          <t>5.1-5.7</t>
        </is>
      </c>
      <c r="B63" s="19" t="inlineStr">
        <is>
          <t>PO-128-08146783672952096</t>
        </is>
      </c>
      <c r="C63" s="19" t="inlineStr">
        <is>
          <t>Delivered</t>
        </is>
      </c>
      <c r="D63" s="19" t="inlineStr">
        <is>
          <t>128-08146836101752096</t>
        </is>
      </c>
      <c r="E63" s="19" t="inlineStr">
        <is>
          <t>Delivered</t>
        </is>
      </c>
      <c r="F63" s="19" t="inlineStr">
        <is>
          <t>BS-01</t>
        </is>
      </c>
      <c r="G6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" s="19" t="inlineStr">
        <is>
          <t>BS-01</t>
        </is>
      </c>
      <c r="I63" s="19" t="n">
        <v>1</v>
      </c>
      <c r="J63" s="20" t="n">
        <v>273</v>
      </c>
      <c r="K63" s="20" t="n">
        <v>311.61</v>
      </c>
      <c r="L63" s="20" t="n">
        <v>0</v>
      </c>
      <c r="M63" s="20" t="n">
        <v>0</v>
      </c>
      <c r="N63" s="20">
        <f>K63*0.08+L63*0.08</f>
        <v/>
      </c>
      <c r="O63" s="20">
        <f>-(K63*0.025+L63*0.025)</f>
        <v/>
      </c>
      <c r="P63" s="20">
        <f>32</f>
        <v/>
      </c>
      <c r="Q63" s="20">
        <f>J63+L63+N63+O63-P63-M63</f>
        <v/>
      </c>
    </row>
    <row r="64">
      <c r="A64" s="19" t="inlineStr">
        <is>
          <t>5.15-5.21</t>
        </is>
      </c>
      <c r="B64" s="19" t="inlineStr">
        <is>
          <t>PO-128-08952969493113565</t>
        </is>
      </c>
      <c r="C64" s="19" t="inlineStr">
        <is>
          <t>Shipped</t>
        </is>
      </c>
      <c r="D64" s="19" t="inlineStr">
        <is>
          <t>128-08952927550073565</t>
        </is>
      </c>
      <c r="E64" s="19" t="inlineStr">
        <is>
          <t>Shipped</t>
        </is>
      </c>
      <c r="F64" s="19" t="inlineStr">
        <is>
          <t>BS-01</t>
        </is>
      </c>
      <c r="G6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" s="19" t="inlineStr">
        <is>
          <t>BS-01</t>
        </is>
      </c>
      <c r="I64" s="19" t="n">
        <v>1</v>
      </c>
      <c r="J64" s="20" t="n">
        <v>219</v>
      </c>
      <c r="K64" s="20" t="n">
        <v>257.6</v>
      </c>
      <c r="L64" s="20" t="n">
        <v>25.86</v>
      </c>
      <c r="M64" s="20" t="n">
        <v>0</v>
      </c>
      <c r="N64" s="20">
        <f>K64*0.08+L64*0.08</f>
        <v/>
      </c>
      <c r="O64" s="20">
        <f>-(K64*0.025+L64*0.025)</f>
        <v/>
      </c>
      <c r="P64" s="20">
        <f>32</f>
        <v/>
      </c>
      <c r="Q64" s="20">
        <f>J64+L64+N64+O64-P64-M64</f>
        <v/>
      </c>
    </row>
    <row r="65">
      <c r="A65" s="19" t="inlineStr">
        <is>
          <t>5.15-5.21</t>
        </is>
      </c>
      <c r="B65" s="19" t="inlineStr">
        <is>
          <t>PO-128-09117129590392520</t>
        </is>
      </c>
      <c r="C65" s="19" t="inlineStr">
        <is>
          <t>Shipped</t>
        </is>
      </c>
      <c r="D65" s="19" t="inlineStr">
        <is>
          <t>128-09117171533432520</t>
        </is>
      </c>
      <c r="E65" s="19" t="inlineStr">
        <is>
          <t>Shipped</t>
        </is>
      </c>
      <c r="F65" s="19" t="inlineStr">
        <is>
          <t>BS-01</t>
        </is>
      </c>
      <c r="G6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" s="19" t="inlineStr">
        <is>
          <t>BS-01</t>
        </is>
      </c>
      <c r="I65" s="19" t="n">
        <v>1</v>
      </c>
      <c r="J65" s="20" t="n">
        <v>219</v>
      </c>
      <c r="K65" s="20" t="n">
        <v>164.86</v>
      </c>
      <c r="L65" s="20" t="n">
        <v>25.86</v>
      </c>
      <c r="M65" s="20" t="n">
        <v>0</v>
      </c>
      <c r="N65" s="20">
        <f>K65*0.08+L65*0.08</f>
        <v/>
      </c>
      <c r="O65" s="20">
        <f>-(K65*0.025+L65*0.025)</f>
        <v/>
      </c>
      <c r="P65" s="20">
        <f>32</f>
        <v/>
      </c>
      <c r="Q65" s="20">
        <f>J65+L65+N65+O65-P65-M65</f>
        <v/>
      </c>
    </row>
    <row r="66">
      <c r="A66" s="19" t="inlineStr">
        <is>
          <t>5.15-5.21</t>
        </is>
      </c>
      <c r="B66" s="19" t="inlineStr">
        <is>
          <t>PO-128-09351703644791058</t>
        </is>
      </c>
      <c r="C66" s="19" t="inlineStr">
        <is>
          <t>Shipped</t>
        </is>
      </c>
      <c r="D66" s="19" t="inlineStr">
        <is>
          <t>128-09351682673271058</t>
        </is>
      </c>
      <c r="E66" s="19" t="inlineStr">
        <is>
          <t>Shipped</t>
        </is>
      </c>
      <c r="F66" s="19" t="inlineStr">
        <is>
          <t>BS-01</t>
        </is>
      </c>
      <c r="G6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" s="19" t="inlineStr">
        <is>
          <t>BS-01</t>
        </is>
      </c>
      <c r="I66" s="19" t="n">
        <v>1</v>
      </c>
      <c r="J66" s="20" t="n">
        <v>219</v>
      </c>
      <c r="K66" s="20" t="n">
        <v>257.6</v>
      </c>
      <c r="L66" s="20" t="n">
        <v>25.86</v>
      </c>
      <c r="M66" s="20" t="n">
        <v>0</v>
      </c>
      <c r="N66" s="20">
        <f>K66*0.08+L66*0.08</f>
        <v/>
      </c>
      <c r="O66" s="20">
        <f>-(K66*0.025+L66*0.025)</f>
        <v/>
      </c>
      <c r="P66" s="20">
        <f>32</f>
        <v/>
      </c>
      <c r="Q66" s="20">
        <f>J66+L66+N66+O66-P66-M66</f>
        <v/>
      </c>
    </row>
    <row r="67">
      <c r="A67" s="19" t="inlineStr">
        <is>
          <t>5.15-5.21</t>
        </is>
      </c>
      <c r="B67" s="19" t="inlineStr">
        <is>
          <t>PO-128-09351698483831058</t>
        </is>
      </c>
      <c r="C67" s="19" t="inlineStr">
        <is>
          <t>Shipped</t>
        </is>
      </c>
      <c r="D67" s="19" t="inlineStr">
        <is>
          <t>128-09351677512311058</t>
        </is>
      </c>
      <c r="E67" s="19" t="inlineStr">
        <is>
          <t>Shipped</t>
        </is>
      </c>
      <c r="F67" s="19" t="inlineStr">
        <is>
          <t>BS-01</t>
        </is>
      </c>
      <c r="G6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" s="19" t="inlineStr">
        <is>
          <t>BS-01</t>
        </is>
      </c>
      <c r="I67" s="19" t="n">
        <v>1</v>
      </c>
      <c r="J67" s="20" t="n">
        <v>219</v>
      </c>
      <c r="K67" s="20" t="n">
        <v>257.6</v>
      </c>
      <c r="L67" s="20" t="n">
        <v>25.86</v>
      </c>
      <c r="M67" s="20" t="n">
        <v>0</v>
      </c>
      <c r="N67" s="20">
        <f>K67*0.08+L67*0.08</f>
        <v/>
      </c>
      <c r="O67" s="20">
        <f>-(K67*0.025+L67*0.025)</f>
        <v/>
      </c>
      <c r="P67" s="20">
        <f>32</f>
        <v/>
      </c>
      <c r="Q67" s="20">
        <f>J67+L67+N67+O67-P67-M67</f>
        <v/>
      </c>
    </row>
    <row r="68">
      <c r="A68" s="19" t="inlineStr">
        <is>
          <t>5.15-5.21</t>
        </is>
      </c>
      <c r="B68" s="19" t="inlineStr">
        <is>
          <t>PO-128-09359804334711138</t>
        </is>
      </c>
      <c r="C68" s="19" t="inlineStr">
        <is>
          <t>Shipped</t>
        </is>
      </c>
      <c r="D68" s="19" t="inlineStr">
        <is>
          <t>128-09359762391671138</t>
        </is>
      </c>
      <c r="E68" s="19" t="inlineStr">
        <is>
          <t>Shipped</t>
        </is>
      </c>
      <c r="F68" s="19" t="inlineStr">
        <is>
          <t>BS-01</t>
        </is>
      </c>
      <c r="G6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" s="19" t="inlineStr">
        <is>
          <t>BS-01</t>
        </is>
      </c>
      <c r="I68" s="19" t="n">
        <v>1</v>
      </c>
      <c r="J68" s="20" t="n">
        <v>219</v>
      </c>
      <c r="K68" s="20" t="n">
        <v>257.6</v>
      </c>
      <c r="L68" s="20" t="n">
        <v>25.86</v>
      </c>
      <c r="M68" s="20" t="n">
        <v>0</v>
      </c>
      <c r="N68" s="20">
        <f>K68*0.08+L68*0.08</f>
        <v/>
      </c>
      <c r="O68" s="20">
        <f>-(K68*0.025+L68*0.025)</f>
        <v/>
      </c>
      <c r="P68" s="20">
        <f>32</f>
        <v/>
      </c>
      <c r="Q68" s="20">
        <f>J68+L68+N68+O68-P68-M68</f>
        <v/>
      </c>
    </row>
    <row r="69">
      <c r="A69" s="19" t="inlineStr">
        <is>
          <t>5.15-5.21</t>
        </is>
      </c>
      <c r="B69" s="19" t="inlineStr">
        <is>
          <t>PO-128-09389767132791793</t>
        </is>
      </c>
      <c r="C69" s="19" t="inlineStr">
        <is>
          <t>Shipped</t>
        </is>
      </c>
      <c r="D69" s="19" t="inlineStr">
        <is>
          <t>128-09389777618551793</t>
        </is>
      </c>
      <c r="E69" s="19" t="inlineStr">
        <is>
          <t>Shipped</t>
        </is>
      </c>
      <c r="F69" s="19" t="inlineStr">
        <is>
          <t>BS-01</t>
        </is>
      </c>
      <c r="G6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" s="19" t="inlineStr">
        <is>
          <t>BS-01</t>
        </is>
      </c>
      <c r="I69" s="19" t="n">
        <v>1</v>
      </c>
      <c r="J69" s="20" t="n">
        <v>219</v>
      </c>
      <c r="K69" s="20" t="n">
        <v>257.6</v>
      </c>
      <c r="L69" s="20" t="n">
        <v>25.86</v>
      </c>
      <c r="M69" s="20" t="n">
        <v>0</v>
      </c>
      <c r="N69" s="20">
        <f>K69*0.08+L69*0.08</f>
        <v/>
      </c>
      <c r="O69" s="20">
        <f>-(K69*0.025+L69*0.025)</f>
        <v/>
      </c>
      <c r="P69" s="20">
        <f>32</f>
        <v/>
      </c>
      <c r="Q69" s="20">
        <f>J69+L69+N69+O69-P69-M69</f>
        <v/>
      </c>
    </row>
    <row r="70">
      <c r="A70" s="19" t="inlineStr">
        <is>
          <t>5.15-5.21</t>
        </is>
      </c>
      <c r="B70" s="19" t="inlineStr">
        <is>
          <t>PO-128-09600179635830539</t>
        </is>
      </c>
      <c r="C70" s="19" t="inlineStr">
        <is>
          <t>Shipped</t>
        </is>
      </c>
      <c r="D70" s="19" t="inlineStr">
        <is>
          <t>128-09600255657590539</t>
        </is>
      </c>
      <c r="E70" s="19" t="inlineStr">
        <is>
          <t>Shipped</t>
        </is>
      </c>
      <c r="F70" s="19" t="inlineStr">
        <is>
          <t>BS-01</t>
        </is>
      </c>
      <c r="G7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" s="19" t="inlineStr">
        <is>
          <t>BS-01</t>
        </is>
      </c>
      <c r="I70" s="19" t="n">
        <v>1</v>
      </c>
      <c r="J70" s="20" t="n">
        <v>219</v>
      </c>
      <c r="K70" s="20" t="n">
        <v>206.08</v>
      </c>
      <c r="L70" s="20" t="n">
        <v>25.86</v>
      </c>
      <c r="M70" s="20" t="n">
        <v>0</v>
      </c>
      <c r="N70" s="20">
        <f>K70*0.08+L70*0.08</f>
        <v/>
      </c>
      <c r="O70" s="20">
        <f>-(K70*0.025+L70*0.025)</f>
        <v/>
      </c>
      <c r="P70" s="20">
        <f>32</f>
        <v/>
      </c>
      <c r="Q70" s="20">
        <f>J70+L70+N70+O70-P70-M70</f>
        <v/>
      </c>
    </row>
    <row r="71">
      <c r="A71" s="19" t="inlineStr">
        <is>
          <t>5.15-5.21</t>
        </is>
      </c>
      <c r="B71" s="19" t="inlineStr">
        <is>
          <t>PO-128-08937841623673463</t>
        </is>
      </c>
      <c r="C71" s="19" t="inlineStr">
        <is>
          <t>Shipped</t>
        </is>
      </c>
      <c r="D71" s="19" t="inlineStr">
        <is>
          <t>128-08937862595193463</t>
        </is>
      </c>
      <c r="E71" s="19" t="inlineStr">
        <is>
          <t>Shipped</t>
        </is>
      </c>
      <c r="F71" s="19" t="inlineStr">
        <is>
          <t>BS-01</t>
        </is>
      </c>
      <c r="G7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" s="19" t="inlineStr">
        <is>
          <t>BS-01</t>
        </is>
      </c>
      <c r="I71" s="19" t="n">
        <v>1</v>
      </c>
      <c r="J71" s="20" t="n">
        <v>219</v>
      </c>
      <c r="K71" s="20" t="n">
        <v>257.6</v>
      </c>
      <c r="L71" s="20" t="n">
        <v>25.86</v>
      </c>
      <c r="M71" s="20" t="n">
        <v>0</v>
      </c>
      <c r="N71" s="20">
        <f>K71*0.08+L71*0.08</f>
        <v/>
      </c>
      <c r="O71" s="20">
        <f>-(K71*0.025+L71*0.025)</f>
        <v/>
      </c>
      <c r="P71" s="20">
        <f>32</f>
        <v/>
      </c>
      <c r="Q71" s="20">
        <f>J71+L71+N71+O71-P71-M71</f>
        <v/>
      </c>
    </row>
    <row r="72">
      <c r="A72" s="19" t="inlineStr">
        <is>
          <t>5.15-5.21</t>
        </is>
      </c>
      <c r="B72" s="19" t="inlineStr">
        <is>
          <t>PO-128-09202279301753039</t>
        </is>
      </c>
      <c r="C72" s="19" t="inlineStr">
        <is>
          <t>Shipped</t>
        </is>
      </c>
      <c r="D72" s="19" t="inlineStr">
        <is>
          <t>128-09202289787513039</t>
        </is>
      </c>
      <c r="E72" s="19" t="inlineStr">
        <is>
          <t>Shipped</t>
        </is>
      </c>
      <c r="F72" s="19" t="inlineStr">
        <is>
          <t>BS-01</t>
        </is>
      </c>
      <c r="G7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2" s="19" t="inlineStr">
        <is>
          <t>BS-01</t>
        </is>
      </c>
      <c r="I72" s="19" t="n">
        <v>1</v>
      </c>
      <c r="J72" s="20" t="n">
        <v>219</v>
      </c>
      <c r="K72" s="20" t="n">
        <v>257.6</v>
      </c>
      <c r="L72" s="20" t="n">
        <v>25.86</v>
      </c>
      <c r="M72" s="20" t="n">
        <v>0</v>
      </c>
      <c r="N72" s="20">
        <f>K72*0.08+L72*0.08</f>
        <v/>
      </c>
      <c r="O72" s="20">
        <f>-(K72*0.025+L72*0.025)</f>
        <v/>
      </c>
      <c r="P72" s="20">
        <f>32</f>
        <v/>
      </c>
      <c r="Q72" s="20">
        <f>J72+L72+N72+O72-P72-M72</f>
        <v/>
      </c>
    </row>
    <row r="73">
      <c r="A73" s="19" t="inlineStr">
        <is>
          <t>5.15-5.21</t>
        </is>
      </c>
      <c r="B73" s="19" t="inlineStr">
        <is>
          <t>PO-128-08978507346553218</t>
        </is>
      </c>
      <c r="C73" s="19" t="inlineStr">
        <is>
          <t>Shipped</t>
        </is>
      </c>
      <c r="D73" s="19" t="inlineStr">
        <is>
          <t>128-08978643661433218</t>
        </is>
      </c>
      <c r="E73" s="19" t="inlineStr">
        <is>
          <t>Shipped</t>
        </is>
      </c>
      <c r="F73" s="19" t="inlineStr">
        <is>
          <t>BS-01</t>
        </is>
      </c>
      <c r="G7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" s="19" t="inlineStr">
        <is>
          <t>BS-01</t>
        </is>
      </c>
      <c r="I73" s="19" t="n">
        <v>1</v>
      </c>
      <c r="J73" s="20" t="n">
        <v>219</v>
      </c>
      <c r="K73" s="20" t="n">
        <v>257.6</v>
      </c>
      <c r="L73" s="20" t="n">
        <v>25.86</v>
      </c>
      <c r="M73" s="20" t="n">
        <v>0</v>
      </c>
      <c r="N73" s="20">
        <f>K73*0.08+L73*0.08</f>
        <v/>
      </c>
      <c r="O73" s="20">
        <f>-(K73*0.025+L73*0.025)</f>
        <v/>
      </c>
      <c r="P73" s="20">
        <f>32</f>
        <v/>
      </c>
      <c r="Q73" s="20">
        <f>J73+L73+N73+O73-P73-M73</f>
        <v/>
      </c>
    </row>
    <row r="74">
      <c r="A74" s="19" t="inlineStr">
        <is>
          <t>5.15-5.21</t>
        </is>
      </c>
      <c r="B74" s="19" t="inlineStr">
        <is>
          <t>PO-128-14632090401912352</t>
        </is>
      </c>
      <c r="C74" s="19" t="inlineStr">
        <is>
          <t>Shipped</t>
        </is>
      </c>
      <c r="D74" s="19" t="inlineStr">
        <is>
          <t>128-14632158559352352</t>
        </is>
      </c>
      <c r="E74" s="19" t="inlineStr">
        <is>
          <t>Shipped</t>
        </is>
      </c>
      <c r="F74" s="19" t="inlineStr">
        <is>
          <t>BS-01</t>
        </is>
      </c>
      <c r="G7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4" s="19" t="inlineStr">
        <is>
          <t>BS-01</t>
        </is>
      </c>
      <c r="I74" s="19" t="n">
        <v>1</v>
      </c>
      <c r="J74" s="20" t="n">
        <v>219</v>
      </c>
      <c r="K74" s="20" t="n">
        <v>257.6</v>
      </c>
      <c r="L74" s="20" t="n">
        <v>25.86</v>
      </c>
      <c r="M74" s="20" t="n">
        <v>0</v>
      </c>
      <c r="N74" s="20">
        <f>K74*0.08+L74*0.08</f>
        <v/>
      </c>
      <c r="O74" s="20">
        <f>-(K74*0.025+L74*0.025)</f>
        <v/>
      </c>
      <c r="P74" s="20">
        <f>32</f>
        <v/>
      </c>
      <c r="Q74" s="20">
        <f>J74+L74+N74+O74-P74-M74</f>
        <v/>
      </c>
    </row>
    <row r="75">
      <c r="A75" s="19" t="inlineStr">
        <is>
          <t>5.15-5.21</t>
        </is>
      </c>
      <c r="B75" s="19" t="inlineStr">
        <is>
          <t>PO-128-15074025367670870</t>
        </is>
      </c>
      <c r="C75" s="19" t="inlineStr">
        <is>
          <t>Shipped</t>
        </is>
      </c>
      <c r="D75" s="19" t="inlineStr">
        <is>
          <t>128-15074004396150870</t>
        </is>
      </c>
      <c r="E75" s="19" t="inlineStr">
        <is>
          <t>Shipped</t>
        </is>
      </c>
      <c r="F75" s="19" t="inlineStr">
        <is>
          <t>BS-01</t>
        </is>
      </c>
      <c r="G7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5" s="19" t="inlineStr">
        <is>
          <t>BS-01</t>
        </is>
      </c>
      <c r="I75" s="19" t="n">
        <v>1</v>
      </c>
      <c r="J75" s="20" t="n">
        <v>219</v>
      </c>
      <c r="K75" s="20" t="n">
        <v>257.6</v>
      </c>
      <c r="L75" s="20" t="n">
        <v>25.86</v>
      </c>
      <c r="M75" s="20" t="n">
        <v>0</v>
      </c>
      <c r="N75" s="20">
        <f>K75*0.08+L75*0.08</f>
        <v/>
      </c>
      <c r="O75" s="20">
        <f>-(K75*0.025+L75*0.025)</f>
        <v/>
      </c>
      <c r="P75" s="20">
        <f>32</f>
        <v/>
      </c>
      <c r="Q75" s="20">
        <f>J75+L75+N75+O75-P75-M75</f>
        <v/>
      </c>
    </row>
    <row r="76">
      <c r="A76" s="19" t="inlineStr">
        <is>
          <t>5.15-5.21</t>
        </is>
      </c>
      <c r="B76" s="19" t="inlineStr">
        <is>
          <t>PO-128-14591297636473620</t>
        </is>
      </c>
      <c r="C76" s="19" t="inlineStr">
        <is>
          <t>Shipped</t>
        </is>
      </c>
      <c r="D76" s="19" t="inlineStr">
        <is>
          <t>128-14591255693433620</t>
        </is>
      </c>
      <c r="E76" s="19" t="inlineStr">
        <is>
          <t>Shipped</t>
        </is>
      </c>
      <c r="F76" s="19" t="inlineStr">
        <is>
          <t>BS-01</t>
        </is>
      </c>
      <c r="G7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6" s="19" t="inlineStr">
        <is>
          <t>BS-01</t>
        </is>
      </c>
      <c r="I76" s="19" t="n">
        <v>1</v>
      </c>
      <c r="J76" s="20" t="n">
        <v>219</v>
      </c>
      <c r="K76" s="20" t="n">
        <v>257.6</v>
      </c>
      <c r="L76" s="20" t="n">
        <v>25.86</v>
      </c>
      <c r="M76" s="20" t="n">
        <v>0</v>
      </c>
      <c r="N76" s="20">
        <f>K76*0.08+L76*0.08</f>
        <v/>
      </c>
      <c r="O76" s="20">
        <f>-(K76*0.025+L76*0.025)</f>
        <v/>
      </c>
      <c r="P76" s="20">
        <f>32</f>
        <v/>
      </c>
      <c r="Q76" s="20">
        <f>J76+L76+N76+O76-P76-M76</f>
        <v/>
      </c>
    </row>
    <row r="77">
      <c r="A77" s="19" t="inlineStr">
        <is>
          <t>5.15-5.21</t>
        </is>
      </c>
      <c r="B77" s="19" t="inlineStr">
        <is>
          <t>PO-128-14907245084791672</t>
        </is>
      </c>
      <c r="C77" s="19" t="inlineStr">
        <is>
          <t>Shipped</t>
        </is>
      </c>
      <c r="D77" s="19" t="inlineStr">
        <is>
          <t>128-14907381399671672</t>
        </is>
      </c>
      <c r="E77" s="19" t="inlineStr">
        <is>
          <t>Shipped</t>
        </is>
      </c>
      <c r="F77" s="19" t="inlineStr">
        <is>
          <t>BS-01</t>
        </is>
      </c>
      <c r="G7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7" s="19" t="inlineStr">
        <is>
          <t>BS-01</t>
        </is>
      </c>
      <c r="I77" s="19" t="n">
        <v>1</v>
      </c>
      <c r="J77" s="20" t="n">
        <v>219</v>
      </c>
      <c r="K77" s="20" t="n">
        <v>214.5</v>
      </c>
      <c r="L77" s="20" t="n">
        <v>25.86</v>
      </c>
      <c r="M77" s="20" t="n">
        <v>0</v>
      </c>
      <c r="N77" s="20">
        <f>K77*0.08+L77*0.08</f>
        <v/>
      </c>
      <c r="O77" s="20">
        <f>-(K77*0.025+L77*0.025)</f>
        <v/>
      </c>
      <c r="P77" s="20">
        <f>32</f>
        <v/>
      </c>
      <c r="Q77" s="20">
        <f>J77+L77+N77+O77-P77-M77</f>
        <v/>
      </c>
    </row>
    <row r="78">
      <c r="A78" s="19" t="inlineStr">
        <is>
          <t>5.15-5.21</t>
        </is>
      </c>
      <c r="B78" s="19" t="inlineStr">
        <is>
          <t>PO-128-14571826983033800</t>
        </is>
      </c>
      <c r="C78" s="19" t="inlineStr">
        <is>
          <t>Shipped</t>
        </is>
      </c>
      <c r="D78" s="19" t="inlineStr">
        <is>
          <t>128-14571785039993800</t>
        </is>
      </c>
      <c r="E78" s="19" t="inlineStr">
        <is>
          <t>Shipped</t>
        </is>
      </c>
      <c r="F78" s="19" t="inlineStr">
        <is>
          <t>BS-01</t>
        </is>
      </c>
      <c r="G7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8" s="19" t="inlineStr">
        <is>
          <t>BS-01</t>
        </is>
      </c>
      <c r="I78" s="19" t="n">
        <v>1</v>
      </c>
      <c r="J78" s="20" t="n">
        <v>219</v>
      </c>
      <c r="K78" s="20" t="n">
        <v>257.6</v>
      </c>
      <c r="L78" s="20" t="n">
        <v>25.86</v>
      </c>
      <c r="M78" s="20" t="n">
        <v>0</v>
      </c>
      <c r="N78" s="20">
        <f>K78*0.08+L78*0.08</f>
        <v/>
      </c>
      <c r="O78" s="20">
        <f>-(K78*0.025+L78*0.025)</f>
        <v/>
      </c>
      <c r="P78" s="20">
        <f>32</f>
        <v/>
      </c>
      <c r="Q78" s="20">
        <f>J78+L78+N78+O78-P78-M78</f>
        <v/>
      </c>
    </row>
    <row r="79">
      <c r="A79" s="19" t="inlineStr">
        <is>
          <t>5.15-5.21</t>
        </is>
      </c>
      <c r="B79" s="19" t="inlineStr">
        <is>
          <t>PO-128-14468681454713454</t>
        </is>
      </c>
      <c r="C79" s="19" t="inlineStr">
        <is>
          <t>Shipped</t>
        </is>
      </c>
      <c r="D79" s="19" t="inlineStr">
        <is>
          <t>128-14468833498233454</t>
        </is>
      </c>
      <c r="E79" s="19" t="inlineStr">
        <is>
          <t>Shipped</t>
        </is>
      </c>
      <c r="F79" s="19" t="inlineStr">
        <is>
          <t>BS-01</t>
        </is>
      </c>
      <c r="G7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9" s="19" t="inlineStr">
        <is>
          <t>BS-01</t>
        </is>
      </c>
      <c r="I79" s="19" t="n">
        <v>1</v>
      </c>
      <c r="J79" s="20" t="n">
        <v>219</v>
      </c>
      <c r="K79" s="20" t="n">
        <v>257.6</v>
      </c>
      <c r="L79" s="20" t="n">
        <v>25.86</v>
      </c>
      <c r="M79" s="20" t="n">
        <v>0</v>
      </c>
      <c r="N79" s="20">
        <f>K79*0.08+L79*0.08</f>
        <v/>
      </c>
      <c r="O79" s="20">
        <f>-(K79*0.025+L79*0.025)</f>
        <v/>
      </c>
      <c r="P79" s="20">
        <f>32</f>
        <v/>
      </c>
      <c r="Q79" s="20">
        <f>J79+L79+N79+O79-P79-M79</f>
        <v/>
      </c>
    </row>
    <row r="80">
      <c r="A80" s="19" t="inlineStr">
        <is>
          <t>5.15-5.21</t>
        </is>
      </c>
      <c r="B80" s="19" t="inlineStr">
        <is>
          <t>PO-128-14882443681911820</t>
        </is>
      </c>
      <c r="C80" s="19" t="inlineStr">
        <is>
          <t>Shipped</t>
        </is>
      </c>
      <c r="D80" s="19" t="inlineStr">
        <is>
          <t>128-14882485624951820</t>
        </is>
      </c>
      <c r="E80" s="19" t="inlineStr">
        <is>
          <t>Shipped</t>
        </is>
      </c>
      <c r="F80" s="19" t="inlineStr">
        <is>
          <t>BS-01</t>
        </is>
      </c>
      <c r="G8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0" s="19" t="inlineStr">
        <is>
          <t>BS-01</t>
        </is>
      </c>
      <c r="I80" s="19" t="n">
        <v>1</v>
      </c>
      <c r="J80" s="20" t="n">
        <v>219</v>
      </c>
      <c r="K80" s="20" t="n">
        <v>257.6</v>
      </c>
      <c r="L80" s="20" t="n">
        <v>25.86</v>
      </c>
      <c r="M80" s="20" t="n">
        <v>0</v>
      </c>
      <c r="N80" s="20">
        <f>K80*0.08+L80*0.08</f>
        <v/>
      </c>
      <c r="O80" s="20">
        <f>-(K80*0.025+L80*0.025)</f>
        <v/>
      </c>
      <c r="P80" s="20">
        <f>32</f>
        <v/>
      </c>
      <c r="Q80" s="20">
        <f>J80+L80+N80+O80-P80-M80</f>
        <v/>
      </c>
    </row>
    <row r="81">
      <c r="A81" s="19" t="inlineStr">
        <is>
          <t>5.15-5.21</t>
        </is>
      </c>
      <c r="B81" s="19" t="inlineStr">
        <is>
          <t>PO-128-14629121528952306</t>
        </is>
      </c>
      <c r="C81" s="19" t="inlineStr">
        <is>
          <t>Shipped</t>
        </is>
      </c>
      <c r="D81" s="19" t="inlineStr">
        <is>
          <t>128-14629163471992306</t>
        </is>
      </c>
      <c r="E81" s="19" t="inlineStr">
        <is>
          <t>Shipped</t>
        </is>
      </c>
      <c r="F81" s="19" t="inlineStr">
        <is>
          <t>BS-01</t>
        </is>
      </c>
      <c r="G8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1" s="19" t="inlineStr">
        <is>
          <t>BS-01</t>
        </is>
      </c>
      <c r="I81" s="19" t="n">
        <v>1</v>
      </c>
      <c r="J81" s="20" t="n">
        <v>219</v>
      </c>
      <c r="K81" s="20" t="n">
        <v>257.6</v>
      </c>
      <c r="L81" s="20" t="n">
        <v>25.86</v>
      </c>
      <c r="M81" s="20" t="n">
        <v>0</v>
      </c>
      <c r="N81" s="20">
        <f>K81*0.08+L81*0.08</f>
        <v/>
      </c>
      <c r="O81" s="20">
        <f>-(K81*0.025+L81*0.025)</f>
        <v/>
      </c>
      <c r="P81" s="20">
        <f>32</f>
        <v/>
      </c>
      <c r="Q81" s="20">
        <f>J81+L81+N81+O81-P81-M81</f>
        <v/>
      </c>
    </row>
    <row r="82">
      <c r="A82" s="19" t="inlineStr">
        <is>
          <t>5.15-5.21</t>
        </is>
      </c>
      <c r="B82" s="19" t="inlineStr">
        <is>
          <t>PO-128-14996933235830178</t>
        </is>
      </c>
      <c r="C82" s="19" t="inlineStr">
        <is>
          <t>Shipped</t>
        </is>
      </c>
      <c r="D82" s="19" t="inlineStr">
        <is>
          <t>128-14996954207350178</t>
        </is>
      </c>
      <c r="E82" s="19" t="inlineStr">
        <is>
          <t>Shipped</t>
        </is>
      </c>
      <c r="F82" s="19" t="inlineStr">
        <is>
          <t>BS-09</t>
        </is>
      </c>
      <c r="G82" s="19" t="inlineStr">
        <is>
          <t>Altavoz de barra para PC con iluminación RGB, sonido de alta fidelidad y múltiples conexiones: Bluetooth, radio FM, USB, TF, AUX y TWS. Ideal para juegos, reuniones y cine en casa.</t>
        </is>
      </c>
      <c r="H82" s="19" t="inlineStr">
        <is>
          <t>NEGRO</t>
        </is>
      </c>
      <c r="I82" s="19" t="n">
        <v>1</v>
      </c>
      <c r="J82" s="20" t="n">
        <v>117.99</v>
      </c>
      <c r="K82" s="20" t="n">
        <v>146.36</v>
      </c>
      <c r="L82" s="20" t="n">
        <v>25.86</v>
      </c>
      <c r="M82" s="20" t="n">
        <v>0</v>
      </c>
      <c r="N82" s="20">
        <f>K82*0.08+L82*0.08</f>
        <v/>
      </c>
      <c r="O82" s="20">
        <f>-(K82*0.025+L82*0.025)</f>
        <v/>
      </c>
      <c r="P82" s="20">
        <f>32</f>
        <v/>
      </c>
      <c r="Q82" s="20">
        <f>J82+L82+N82+O82-P82-M82</f>
        <v/>
      </c>
    </row>
    <row r="83">
      <c r="A83" s="19" t="inlineStr">
        <is>
          <t>5.15-5.21</t>
        </is>
      </c>
      <c r="B83" s="19" t="inlineStr">
        <is>
          <t>PO-128-15094843543670746</t>
        </is>
      </c>
      <c r="C83" s="19" t="inlineStr">
        <is>
          <t>Shipped</t>
        </is>
      </c>
      <c r="D83" s="19" t="inlineStr">
        <is>
          <t>128-15094885486710746</t>
        </is>
      </c>
      <c r="E83" s="19" t="inlineStr">
        <is>
          <t>Shipped</t>
        </is>
      </c>
      <c r="F83" s="19" t="inlineStr">
        <is>
          <t>BS-09</t>
        </is>
      </c>
      <c r="G83" s="19" t="inlineStr">
        <is>
          <t>Altavoz de barra para PC con iluminación RGB, sonido de alta fidelidad y múltiples conexiones: Bluetooth, radio FM, USB, TF, AUX y TWS. Ideal para juegos, reuniones y cine en casa.</t>
        </is>
      </c>
      <c r="H83" s="19" t="inlineStr">
        <is>
          <t>NEGRO</t>
        </is>
      </c>
      <c r="I83" s="19" t="n">
        <v>1</v>
      </c>
      <c r="J83" s="20" t="n">
        <v>117.99</v>
      </c>
      <c r="K83" s="20" t="n">
        <v>146.36</v>
      </c>
      <c r="L83" s="20" t="n">
        <v>25.86</v>
      </c>
      <c r="M83" s="20" t="n">
        <v>0</v>
      </c>
      <c r="N83" s="20">
        <f>K83*0.08+L83*0.08</f>
        <v/>
      </c>
      <c r="O83" s="20">
        <f>-(K83*0.025+L83*0.025)</f>
        <v/>
      </c>
      <c r="P83" s="20">
        <f>32</f>
        <v/>
      </c>
      <c r="Q83" s="20">
        <f>J83+L83+N83+O83-P83-M83</f>
        <v/>
      </c>
    </row>
    <row r="84">
      <c r="A84" s="19" t="inlineStr">
        <is>
          <t>5.15-5.21</t>
        </is>
      </c>
      <c r="B84" s="19" t="inlineStr">
        <is>
          <t>PO-128-15110647268470588</t>
        </is>
      </c>
      <c r="C84" s="19" t="inlineStr">
        <is>
          <t>Shipped</t>
        </is>
      </c>
      <c r="D84" s="19" t="inlineStr">
        <is>
          <t>128-15110626296950588</t>
        </is>
      </c>
      <c r="E84" s="19" t="inlineStr">
        <is>
          <t>Shipped</t>
        </is>
      </c>
      <c r="F84" s="19" t="inlineStr">
        <is>
          <t>BS-01</t>
        </is>
      </c>
      <c r="G8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4" s="19" t="inlineStr">
        <is>
          <t>BS-01</t>
        </is>
      </c>
      <c r="I84" s="19" t="n">
        <v>2</v>
      </c>
      <c r="J84" s="20" t="n">
        <v>438</v>
      </c>
      <c r="K84" s="20" t="n">
        <v>515.2</v>
      </c>
      <c r="L84" s="20" t="n">
        <v>0</v>
      </c>
      <c r="M84" s="20" t="n">
        <v>0</v>
      </c>
      <c r="N84" s="20">
        <f>K84*0.08+L84*0.08</f>
        <v/>
      </c>
      <c r="O84" s="20">
        <f>-(K84*0.025+L84*0.025)</f>
        <v/>
      </c>
      <c r="P84" s="20">
        <f>32</f>
        <v/>
      </c>
      <c r="Q84" s="20">
        <f>J84+L84+N84+O84-P84-M84</f>
        <v/>
      </c>
    </row>
    <row r="85">
      <c r="A85" s="19" t="inlineStr">
        <is>
          <t>5.15-5.21</t>
        </is>
      </c>
      <c r="B85" s="19" t="inlineStr">
        <is>
          <t>PO-128-14454632845433346</t>
        </is>
      </c>
      <c r="C85" s="19" t="inlineStr">
        <is>
          <t>Shipped</t>
        </is>
      </c>
      <c r="D85" s="19" t="inlineStr">
        <is>
          <t>128-14454674788473346</t>
        </is>
      </c>
      <c r="E85" s="19" t="inlineStr">
        <is>
          <t>Shipped</t>
        </is>
      </c>
      <c r="F85" s="19" t="inlineStr">
        <is>
          <t>BS-01</t>
        </is>
      </c>
      <c r="G8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5" s="19" t="inlineStr">
        <is>
          <t>BS-01</t>
        </is>
      </c>
      <c r="I85" s="19" t="n">
        <v>1</v>
      </c>
      <c r="J85" s="20" t="n">
        <v>219</v>
      </c>
      <c r="K85" s="20" t="n">
        <v>257.6</v>
      </c>
      <c r="L85" s="20" t="n">
        <v>25.86</v>
      </c>
      <c r="M85" s="20" t="n">
        <v>0</v>
      </c>
      <c r="N85" s="20">
        <f>K85*0.08+L85*0.08</f>
        <v/>
      </c>
      <c r="O85" s="20">
        <f>-(K85*0.025+L85*0.025)</f>
        <v/>
      </c>
      <c r="P85" s="20">
        <f>32</f>
        <v/>
      </c>
      <c r="Q85" s="20">
        <f>J85+L85+N85+O85-P85-M85</f>
        <v/>
      </c>
    </row>
    <row r="86">
      <c r="A86" s="19" t="inlineStr">
        <is>
          <t>5.15-5.21</t>
        </is>
      </c>
      <c r="B86" s="19" t="inlineStr">
        <is>
          <t>PO-128-15039577761910948</t>
        </is>
      </c>
      <c r="C86" s="19" t="inlineStr">
        <is>
          <t>Shipped</t>
        </is>
      </c>
      <c r="D86" s="19" t="inlineStr">
        <is>
          <t>128-15039572519030948</t>
        </is>
      </c>
      <c r="E86" s="19" t="inlineStr">
        <is>
          <t>Shipped</t>
        </is>
      </c>
      <c r="F86" s="19" t="inlineStr">
        <is>
          <t>BS-09</t>
        </is>
      </c>
      <c r="G86" s="19" t="inlineStr">
        <is>
          <t>Altavoz de barra para PC con iluminación RGB, sonido de alta fidelidad y múltiples conexiones: Bluetooth, radio FM, USB, TF, AUX y TWS. Ideal para juegos, reuniones y cine en casa.</t>
        </is>
      </c>
      <c r="H86" s="19" t="inlineStr">
        <is>
          <t>NEGRO</t>
        </is>
      </c>
      <c r="I86" s="19" t="n">
        <v>2</v>
      </c>
      <c r="J86" s="20" t="n">
        <v>235.98</v>
      </c>
      <c r="K86" s="20" t="n">
        <v>273.66</v>
      </c>
      <c r="L86" s="20" t="n">
        <v>0</v>
      </c>
      <c r="M86" s="20" t="n">
        <v>0</v>
      </c>
      <c r="N86" s="20">
        <f>K86*0.08+L86*0.08</f>
        <v/>
      </c>
      <c r="O86" s="20">
        <f>-(K86*0.025+L86*0.025)</f>
        <v/>
      </c>
      <c r="P86" s="20">
        <f>32</f>
        <v/>
      </c>
      <c r="Q86" s="20">
        <f>J86+L86+N86+O86-P86-M86</f>
        <v/>
      </c>
    </row>
    <row r="87">
      <c r="A87" s="19" t="inlineStr">
        <is>
          <t>5.15-5.21</t>
        </is>
      </c>
      <c r="B87" s="19" t="inlineStr">
        <is>
          <t>PO-128-14866998707831976</t>
        </is>
      </c>
      <c r="C87" s="19" t="inlineStr">
        <is>
          <t>Shipped</t>
        </is>
      </c>
      <c r="D87" s="19" t="inlineStr">
        <is>
          <t>128-14867103565431976</t>
        </is>
      </c>
      <c r="E87" s="19" t="inlineStr">
        <is>
          <t>Shipped</t>
        </is>
      </c>
      <c r="F87" s="19" t="inlineStr">
        <is>
          <t>IE03CN</t>
        </is>
      </c>
      <c r="G87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87" s="19" t="inlineStr">
        <is>
          <t>NEGRO</t>
        </is>
      </c>
      <c r="I87" s="19" t="n">
        <v>1</v>
      </c>
      <c r="J87" s="20" t="n">
        <v>40</v>
      </c>
      <c r="K87" s="20" t="n">
        <v>6.49</v>
      </c>
      <c r="L87" s="20" t="n">
        <v>25.86</v>
      </c>
      <c r="M87" s="20" t="n">
        <v>0</v>
      </c>
      <c r="N87" s="20">
        <f>K87*0.08+L87*0.08</f>
        <v/>
      </c>
      <c r="O87" s="20">
        <f>-(K87*0.025+L87*0.025)</f>
        <v/>
      </c>
      <c r="P87" s="20">
        <f>32</f>
        <v/>
      </c>
      <c r="Q87" s="20">
        <f>J87+L87+N87+O87-P87-M87</f>
        <v/>
      </c>
    </row>
    <row r="88">
      <c r="A88" s="19" t="inlineStr">
        <is>
          <t>5.15-5.21</t>
        </is>
      </c>
      <c r="B88" s="19" t="inlineStr">
        <is>
          <t>PO-128-14546842199673887</t>
        </is>
      </c>
      <c r="C88" s="19" t="inlineStr">
        <is>
          <t>Shipped</t>
        </is>
      </c>
      <c r="D88" s="19" t="inlineStr">
        <is>
          <t>128-14546821228153887</t>
        </is>
      </c>
      <c r="E88" s="19" t="inlineStr">
        <is>
          <t>Shipped</t>
        </is>
      </c>
      <c r="F88" s="19" t="inlineStr">
        <is>
          <t>BS-01</t>
        </is>
      </c>
      <c r="G8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8" s="19" t="inlineStr">
        <is>
          <t>BS-01</t>
        </is>
      </c>
      <c r="I88" s="19" t="n">
        <v>1</v>
      </c>
      <c r="J88" s="20" t="n">
        <v>219</v>
      </c>
      <c r="K88" s="20" t="n">
        <v>206.08</v>
      </c>
      <c r="L88" s="20" t="n">
        <v>25.86</v>
      </c>
      <c r="M88" s="20" t="n">
        <v>0</v>
      </c>
      <c r="N88" s="20">
        <f>K88*0.08+L88*0.08</f>
        <v/>
      </c>
      <c r="O88" s="20">
        <f>-(K88*0.025+L88*0.025)</f>
        <v/>
      </c>
      <c r="P88" s="20">
        <f>32</f>
        <v/>
      </c>
      <c r="Q88" s="20">
        <f>J88+L88+N88+O88-P88-M88</f>
        <v/>
      </c>
    </row>
    <row r="89">
      <c r="A89" s="19" t="inlineStr">
        <is>
          <t>5.15-5.21</t>
        </is>
      </c>
      <c r="B89" s="19" t="inlineStr">
        <is>
          <t>PO-128-15086574802550732</t>
        </is>
      </c>
      <c r="C89" s="19" t="inlineStr">
        <is>
          <t>Shipped</t>
        </is>
      </c>
      <c r="D89" s="19" t="inlineStr">
        <is>
          <t>128-15086532859510732</t>
        </is>
      </c>
      <c r="E89" s="19" t="inlineStr">
        <is>
          <t>Shipped</t>
        </is>
      </c>
      <c r="F89" s="19" t="inlineStr">
        <is>
          <t>BS-01</t>
        </is>
      </c>
      <c r="G8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9" s="19" t="inlineStr">
        <is>
          <t>BS-01</t>
        </is>
      </c>
      <c r="I89" s="19" t="n">
        <v>1</v>
      </c>
      <c r="J89" s="20" t="n">
        <v>219</v>
      </c>
      <c r="K89" s="20" t="n">
        <v>257.6</v>
      </c>
      <c r="L89" s="20" t="n">
        <v>25.86</v>
      </c>
      <c r="M89" s="20" t="n">
        <v>0</v>
      </c>
      <c r="N89" s="20">
        <f>K89*0.08+L89*0.08</f>
        <v/>
      </c>
      <c r="O89" s="20">
        <f>-(K89*0.025+L89*0.025)</f>
        <v/>
      </c>
      <c r="P89" s="20">
        <f>32</f>
        <v/>
      </c>
      <c r="Q89" s="20">
        <f>J89+L89+N89+O89-P89-M89</f>
        <v/>
      </c>
    </row>
    <row r="90">
      <c r="A90" s="19" t="inlineStr">
        <is>
          <t>5.15-5.21</t>
        </is>
      </c>
      <c r="B90" s="19" t="inlineStr">
        <is>
          <t>PO-128-14644112430712411</t>
        </is>
      </c>
      <c r="C90" s="19" t="inlineStr">
        <is>
          <t>Shipped</t>
        </is>
      </c>
      <c r="D90" s="19" t="inlineStr">
        <is>
          <t>128-14644133402232411</t>
        </is>
      </c>
      <c r="E90" s="19" t="inlineStr">
        <is>
          <t>Shipped</t>
        </is>
      </c>
      <c r="F90" s="19" t="inlineStr">
        <is>
          <t>BS-01</t>
        </is>
      </c>
      <c r="G9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0" s="19" t="inlineStr">
        <is>
          <t>BS-01</t>
        </is>
      </c>
      <c r="I90" s="19" t="n">
        <v>2</v>
      </c>
      <c r="J90" s="20" t="n">
        <v>438</v>
      </c>
      <c r="K90" s="20" t="n">
        <v>334.58</v>
      </c>
      <c r="L90" s="20" t="n">
        <v>0</v>
      </c>
      <c r="M90" s="20" t="n">
        <v>0</v>
      </c>
      <c r="N90" s="20">
        <f>K90*0.08+L90*0.08</f>
        <v/>
      </c>
      <c r="O90" s="20">
        <f>-(K90*0.025+L90*0.025)</f>
        <v/>
      </c>
      <c r="P90" s="20">
        <f>32</f>
        <v/>
      </c>
      <c r="Q90" s="20">
        <f>J90+L90+N90+O90-P90-M90</f>
        <v/>
      </c>
    </row>
    <row r="91">
      <c r="A91" s="19" t="inlineStr">
        <is>
          <t>5.15-5.21</t>
        </is>
      </c>
      <c r="B91" s="19" t="inlineStr">
        <is>
          <t>PO-128-14906093901431681</t>
        </is>
      </c>
      <c r="C91" s="19" t="inlineStr">
        <is>
          <t>Shipped</t>
        </is>
      </c>
      <c r="D91" s="19" t="inlineStr">
        <is>
          <t>128-14906114872951681</t>
        </is>
      </c>
      <c r="E91" s="19" t="inlineStr">
        <is>
          <t>Shipped</t>
        </is>
      </c>
      <c r="F91" s="19" t="inlineStr">
        <is>
          <t>BS-01</t>
        </is>
      </c>
      <c r="G9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1" s="19" t="inlineStr">
        <is>
          <t>BS-01</t>
        </is>
      </c>
      <c r="I91" s="19" t="n">
        <v>2</v>
      </c>
      <c r="J91" s="20" t="n">
        <v>438</v>
      </c>
      <c r="K91" s="20" t="n">
        <v>515.2</v>
      </c>
      <c r="L91" s="20" t="n">
        <v>0</v>
      </c>
      <c r="M91" s="20" t="n">
        <v>0</v>
      </c>
      <c r="N91" s="20">
        <f>K91*0.08+L91*0.08</f>
        <v/>
      </c>
      <c r="O91" s="20">
        <f>-(K91*0.025+L91*0.025)</f>
        <v/>
      </c>
      <c r="P91" s="20">
        <f>32</f>
        <v/>
      </c>
      <c r="Q91" s="20">
        <f>J91+L91+N91+O91-P91-M91</f>
        <v/>
      </c>
    </row>
    <row r="92">
      <c r="A92" s="19" t="inlineStr">
        <is>
          <t>5.15-5.21</t>
        </is>
      </c>
      <c r="B92" s="19" t="inlineStr">
        <is>
          <t>PO-128-14612260193912473</t>
        </is>
      </c>
      <c r="C92" s="19" t="inlineStr">
        <is>
          <t>Shipped</t>
        </is>
      </c>
      <c r="D92" s="19" t="inlineStr">
        <is>
          <t>128-14612218250872473</t>
        </is>
      </c>
      <c r="E92" s="19" t="inlineStr">
        <is>
          <t>Shipped</t>
        </is>
      </c>
      <c r="F92" s="19" t="inlineStr">
        <is>
          <t>BS-01</t>
        </is>
      </c>
      <c r="G9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2" s="19" t="inlineStr">
        <is>
          <t>BS-01</t>
        </is>
      </c>
      <c r="I92" s="19" t="n">
        <v>1</v>
      </c>
      <c r="J92" s="20" t="n">
        <v>219</v>
      </c>
      <c r="K92" s="20" t="n">
        <v>257.6</v>
      </c>
      <c r="L92" s="20" t="n">
        <v>25.86</v>
      </c>
      <c r="M92" s="20" t="n">
        <v>0</v>
      </c>
      <c r="N92" s="20">
        <f>K92*0.08+L92*0.08</f>
        <v/>
      </c>
      <c r="O92" s="20">
        <f>-(K92*0.025+L92*0.025)</f>
        <v/>
      </c>
      <c r="P92" s="20">
        <f>32</f>
        <v/>
      </c>
      <c r="Q92" s="20">
        <f>J92+L92+N92+O92-P92-M92</f>
        <v/>
      </c>
    </row>
    <row r="93">
      <c r="A93" s="19" t="inlineStr">
        <is>
          <t>5.15-5.21</t>
        </is>
      </c>
      <c r="B93" s="19" t="inlineStr">
        <is>
          <t>PO-128-14486587561593284</t>
        </is>
      </c>
      <c r="C93" s="19" t="inlineStr">
        <is>
          <t>Shipped</t>
        </is>
      </c>
      <c r="D93" s="19" t="inlineStr">
        <is>
          <t>128-14486545618553284</t>
        </is>
      </c>
      <c r="E93" s="19" t="inlineStr">
        <is>
          <t>Shipped</t>
        </is>
      </c>
      <c r="F93" s="19" t="inlineStr">
        <is>
          <t>S-10012N</t>
        </is>
      </c>
      <c r="G93" s="19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H93" s="19" t="inlineStr">
        <is>
          <t>negro</t>
        </is>
      </c>
      <c r="I93" s="19" t="n">
        <v>1</v>
      </c>
      <c r="J93" s="20" t="n">
        <v>265</v>
      </c>
      <c r="K93" s="20" t="n">
        <v>317.8</v>
      </c>
      <c r="L93" s="20" t="n">
        <v>0</v>
      </c>
      <c r="M93" s="20" t="n">
        <v>0</v>
      </c>
      <c r="N93" s="20">
        <f>K93*0.08+L93*0.08</f>
        <v/>
      </c>
      <c r="O93" s="20">
        <f>-(K93*0.025+L93*0.025)</f>
        <v/>
      </c>
      <c r="P93" s="20">
        <f>32</f>
        <v/>
      </c>
      <c r="Q93" s="20">
        <f>J93+L93+N93+O93-P93-M93</f>
        <v/>
      </c>
    </row>
    <row r="94">
      <c r="A94" s="19" t="inlineStr">
        <is>
          <t>5.15-5.21</t>
        </is>
      </c>
      <c r="B94" s="19" t="inlineStr">
        <is>
          <t>PO-128-03897668549751825</t>
        </is>
      </c>
      <c r="C94" s="19" t="inlineStr">
        <is>
          <t>Shipped</t>
        </is>
      </c>
      <c r="D94" s="19" t="inlineStr">
        <is>
          <t>128-03897626606711825</t>
        </is>
      </c>
      <c r="E94" s="19" t="inlineStr">
        <is>
          <t>Shipped</t>
        </is>
      </c>
      <c r="F94" s="19" t="inlineStr">
        <is>
          <t>BS-09</t>
        </is>
      </c>
      <c r="G94" s="19" t="inlineStr">
        <is>
          <t>Altavoz de barra para PC con iluminación RGB, sonido de alta fidelidad y múltiples conexiones: Bluetooth, radio FM, USB, TF, AUX y TWS. Ideal para juegos, reuniones y cine en casa.</t>
        </is>
      </c>
      <c r="H94" s="19" t="inlineStr">
        <is>
          <t>NEGRO</t>
        </is>
      </c>
      <c r="I94" s="19" t="n">
        <v>1</v>
      </c>
      <c r="J94" s="20" t="n">
        <v>117.99</v>
      </c>
      <c r="K94" s="20" t="n">
        <v>146.36</v>
      </c>
      <c r="L94" s="20" t="n">
        <v>25.86</v>
      </c>
      <c r="M94" s="20" t="n">
        <v>0</v>
      </c>
      <c r="N94" s="20">
        <f>K94*0.08+L94*0.08</f>
        <v/>
      </c>
      <c r="O94" s="20">
        <f>-(K94*0.025+L94*0.025)</f>
        <v/>
      </c>
      <c r="P94" s="20">
        <f>32</f>
        <v/>
      </c>
      <c r="Q94" s="20">
        <f>J94+L94+N94+O94-P94-M94</f>
        <v/>
      </c>
    </row>
    <row r="95">
      <c r="A95" s="19" t="inlineStr">
        <is>
          <t>5.15-5.21</t>
        </is>
      </c>
      <c r="B95" s="19" t="inlineStr">
        <is>
          <t>PO-128-03623095524472501</t>
        </is>
      </c>
      <c r="C95" s="19" t="inlineStr">
        <is>
          <t>Shipped</t>
        </is>
      </c>
      <c r="D95" s="19" t="inlineStr">
        <is>
          <t>128-03623137467512501</t>
        </is>
      </c>
      <c r="E95" s="19" t="inlineStr">
        <is>
          <t>Shipped</t>
        </is>
      </c>
      <c r="F95" s="19" t="inlineStr">
        <is>
          <t>BS-01</t>
        </is>
      </c>
      <c r="G9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5" s="19" t="inlineStr">
        <is>
          <t>BS-01</t>
        </is>
      </c>
      <c r="I95" s="19" t="n">
        <v>1</v>
      </c>
      <c r="J95" s="20" t="n">
        <v>219</v>
      </c>
      <c r="K95" s="20" t="n">
        <v>257.6</v>
      </c>
      <c r="L95" s="20" t="n">
        <v>25.86</v>
      </c>
      <c r="M95" s="20" t="n">
        <v>0</v>
      </c>
      <c r="N95" s="20">
        <f>K95*0.08+L95*0.08</f>
        <v/>
      </c>
      <c r="O95" s="20">
        <f>-(K95*0.025+L95*0.025)</f>
        <v/>
      </c>
      <c r="P95" s="20">
        <f>32</f>
        <v/>
      </c>
      <c r="Q95" s="20">
        <f>J95+L95+N95+O95-P95-M95</f>
        <v/>
      </c>
    </row>
    <row r="96">
      <c r="A96" s="19" t="inlineStr">
        <is>
          <t>5.15-5.21</t>
        </is>
      </c>
      <c r="B96" s="19" t="inlineStr">
        <is>
          <t>PO-128-03879473052791997</t>
        </is>
      </c>
      <c r="C96" s="19" t="inlineStr">
        <is>
          <t>Shipped</t>
        </is>
      </c>
      <c r="D96" s="19" t="inlineStr">
        <is>
          <t>128-03879514995831997</t>
        </is>
      </c>
      <c r="E96" s="19" t="inlineStr">
        <is>
          <t>Shipped</t>
        </is>
      </c>
      <c r="F96" s="19" t="inlineStr">
        <is>
          <t>BS-01</t>
        </is>
      </c>
      <c r="G9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6" s="19" t="inlineStr">
        <is>
          <t>BS-01</t>
        </is>
      </c>
      <c r="I96" s="19" t="n">
        <v>1</v>
      </c>
      <c r="J96" s="20" t="n">
        <v>219</v>
      </c>
      <c r="K96" s="20" t="n">
        <v>257.6</v>
      </c>
      <c r="L96" s="20" t="n">
        <v>25.86</v>
      </c>
      <c r="M96" s="20" t="n">
        <v>0</v>
      </c>
      <c r="N96" s="20">
        <f>K96*0.08+L96*0.08</f>
        <v/>
      </c>
      <c r="O96" s="20">
        <f>-(K96*0.025+L96*0.025)</f>
        <v/>
      </c>
      <c r="P96" s="20">
        <f>32</f>
        <v/>
      </c>
      <c r="Q96" s="20">
        <f>J96+L96+N96+O96-P96-M96</f>
        <v/>
      </c>
    </row>
    <row r="97">
      <c r="A97" s="19" t="inlineStr">
        <is>
          <t>5.15-5.21</t>
        </is>
      </c>
      <c r="B97" s="19" t="inlineStr">
        <is>
          <t>PO-128-04088377096310686</t>
        </is>
      </c>
      <c r="C97" s="19" t="inlineStr">
        <is>
          <t>Shipped</t>
        </is>
      </c>
      <c r="D97" s="19" t="inlineStr">
        <is>
          <t>128-04088398067830686</t>
        </is>
      </c>
      <c r="E97" s="19" t="inlineStr">
        <is>
          <t>Shipped</t>
        </is>
      </c>
      <c r="F97" s="19" t="inlineStr">
        <is>
          <t>BS-01</t>
        </is>
      </c>
      <c r="G9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7" s="19" t="inlineStr">
        <is>
          <t>BS-01</t>
        </is>
      </c>
      <c r="I97" s="19" t="n">
        <v>1</v>
      </c>
      <c r="J97" s="20" t="n">
        <v>219</v>
      </c>
      <c r="K97" s="20" t="n">
        <v>257.6</v>
      </c>
      <c r="L97" s="20" t="n">
        <v>25.86</v>
      </c>
      <c r="M97" s="20" t="n">
        <v>0</v>
      </c>
      <c r="N97" s="20">
        <f>K97*0.08+L97*0.08</f>
        <v/>
      </c>
      <c r="O97" s="20">
        <f>-(K97*0.025+L97*0.025)</f>
        <v/>
      </c>
      <c r="P97" s="20">
        <f>32</f>
        <v/>
      </c>
      <c r="Q97" s="20">
        <f>J97+L97+N97+O97-P97-M97</f>
        <v/>
      </c>
    </row>
    <row r="98">
      <c r="A98" s="19" t="inlineStr">
        <is>
          <t>5.15-5.21</t>
        </is>
      </c>
      <c r="B98" s="19" t="inlineStr">
        <is>
          <t>PO-128-03771645996152638</t>
        </is>
      </c>
      <c r="C98" s="19" t="inlineStr">
        <is>
          <t>Shipped</t>
        </is>
      </c>
      <c r="D98" s="19" t="inlineStr">
        <is>
          <t>128-03771684007032638</t>
        </is>
      </c>
      <c r="E98" s="19" t="inlineStr">
        <is>
          <t>Shipped</t>
        </is>
      </c>
      <c r="F98" s="19" t="inlineStr">
        <is>
          <t>BS-01</t>
        </is>
      </c>
      <c r="G9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8" s="19" t="inlineStr">
        <is>
          <t>BS-01</t>
        </is>
      </c>
      <c r="I98" s="19" t="n">
        <v>1</v>
      </c>
      <c r="J98" s="20" t="n">
        <v>219</v>
      </c>
      <c r="K98" s="20" t="n">
        <v>231.59</v>
      </c>
      <c r="L98" s="20" t="n">
        <v>25.86</v>
      </c>
      <c r="M98" s="20" t="n">
        <v>0</v>
      </c>
      <c r="N98" s="20">
        <f>K98*0.08+L98*0.08</f>
        <v/>
      </c>
      <c r="O98" s="20">
        <f>-(K98*0.025+L98*0.025)</f>
        <v/>
      </c>
      <c r="P98" s="20">
        <f>32</f>
        <v/>
      </c>
      <c r="Q98" s="20">
        <f>J98+L98+N98+O98-P98-M98</f>
        <v/>
      </c>
    </row>
    <row r="99">
      <c r="A99" s="19" t="inlineStr">
        <is>
          <t>5.15-5.21</t>
        </is>
      </c>
      <c r="B99" s="19" t="inlineStr">
        <is>
          <t>PO-128-03568385838713723</t>
        </is>
      </c>
      <c r="C99" s="19" t="inlineStr">
        <is>
          <t>Shipped</t>
        </is>
      </c>
      <c r="D99" s="19" t="inlineStr">
        <is>
          <t>128-03568406810233723</t>
        </is>
      </c>
      <c r="E99" s="19" t="inlineStr">
        <is>
          <t>Shipped</t>
        </is>
      </c>
      <c r="F99" s="19" t="inlineStr">
        <is>
          <t>BS-01</t>
        </is>
      </c>
      <c r="G9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9" s="19" t="inlineStr">
        <is>
          <t>BS-01</t>
        </is>
      </c>
      <c r="I99" s="19" t="n">
        <v>1</v>
      </c>
      <c r="J99" s="20" t="n">
        <v>219</v>
      </c>
      <c r="K99" s="20" t="n">
        <v>222.97</v>
      </c>
      <c r="L99" s="20" t="n">
        <v>25.86</v>
      </c>
      <c r="M99" s="20" t="n">
        <v>0</v>
      </c>
      <c r="N99" s="20">
        <f>K99*0.08+L99*0.08</f>
        <v/>
      </c>
      <c r="O99" s="20">
        <f>-(K99*0.025+L99*0.025)</f>
        <v/>
      </c>
      <c r="P99" s="20">
        <f>32</f>
        <v/>
      </c>
      <c r="Q99" s="20">
        <f>J99+L99+N99+O99-P99-M99</f>
        <v/>
      </c>
    </row>
    <row r="100">
      <c r="A100" s="19" t="inlineStr">
        <is>
          <t>5.15-5.21</t>
        </is>
      </c>
      <c r="B100" s="19" t="inlineStr">
        <is>
          <t>PO-128-03997139602550142</t>
        </is>
      </c>
      <c r="C100" s="19" t="inlineStr">
        <is>
          <t>Shipped</t>
        </is>
      </c>
      <c r="D100" s="19" t="inlineStr">
        <is>
          <t>128-03997097659510142</t>
        </is>
      </c>
      <c r="E100" s="19" t="inlineStr">
        <is>
          <t>Shipped</t>
        </is>
      </c>
      <c r="F100" s="19" t="inlineStr">
        <is>
          <t>S-10302</t>
        </is>
      </c>
      <c r="G100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100" s="19" t="inlineStr">
        <is>
          <t>s-10302</t>
        </is>
      </c>
      <c r="I100" s="19" t="n">
        <v>1</v>
      </c>
      <c r="J100" s="20" t="n">
        <v>65</v>
      </c>
      <c r="K100" s="20" t="n">
        <v>76.90000000000001</v>
      </c>
      <c r="L100" s="20" t="n">
        <v>25.86</v>
      </c>
      <c r="M100" s="20" t="n">
        <v>0</v>
      </c>
      <c r="N100" s="20">
        <f>K100*0.08+L100*0.08</f>
        <v/>
      </c>
      <c r="O100" s="20">
        <f>-(K100*0.025+L100*0.025)</f>
        <v/>
      </c>
      <c r="P100" s="20">
        <f>32</f>
        <v/>
      </c>
      <c r="Q100" s="20">
        <f>J100+L100+N100+O100-P100-M100</f>
        <v/>
      </c>
    </row>
    <row r="101">
      <c r="A101" s="19" t="inlineStr">
        <is>
          <t>5.15-5.21</t>
        </is>
      </c>
      <c r="B101" s="19" t="inlineStr">
        <is>
          <t>PO-128-03634468068472305</t>
        </is>
      </c>
      <c r="C101" s="19" t="inlineStr">
        <is>
          <t>Shipped</t>
        </is>
      </c>
      <c r="D101" s="19" t="inlineStr">
        <is>
          <t>128-03634499525752305</t>
        </is>
      </c>
      <c r="E101" s="19" t="inlineStr">
        <is>
          <t>Shipped</t>
        </is>
      </c>
      <c r="F101" s="19" t="inlineStr">
        <is>
          <t>BS-01</t>
        </is>
      </c>
      <c r="G10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1" s="19" t="inlineStr">
        <is>
          <t>BS-01</t>
        </is>
      </c>
      <c r="I101" s="19" t="n">
        <v>1</v>
      </c>
      <c r="J101" s="20" t="n">
        <v>219</v>
      </c>
      <c r="K101" s="20" t="n">
        <v>257.6</v>
      </c>
      <c r="L101" s="20" t="n">
        <v>25.86</v>
      </c>
      <c r="M101" s="20" t="n">
        <v>0</v>
      </c>
      <c r="N101" s="20">
        <f>K101*0.08+L101*0.08</f>
        <v/>
      </c>
      <c r="O101" s="20">
        <f>-(K101*0.025+L101*0.025)</f>
        <v/>
      </c>
      <c r="P101" s="20">
        <f>32</f>
        <v/>
      </c>
      <c r="Q101" s="20">
        <f>J101+L101+N101+O101-P101-M101</f>
        <v/>
      </c>
    </row>
    <row r="102">
      <c r="A102" s="19" t="inlineStr">
        <is>
          <t>5.15-5.21</t>
        </is>
      </c>
      <c r="B102" s="19" t="inlineStr">
        <is>
          <t>PO-128-04050291727990979</t>
        </is>
      </c>
      <c r="C102" s="19" t="inlineStr">
        <is>
          <t>Shipped</t>
        </is>
      </c>
      <c r="D102" s="19" t="inlineStr">
        <is>
          <t>128-04050344156790979</t>
        </is>
      </c>
      <c r="E102" s="19" t="inlineStr">
        <is>
          <t>Shipped</t>
        </is>
      </c>
      <c r="F102" s="19" t="inlineStr">
        <is>
          <t>BS-01</t>
        </is>
      </c>
      <c r="G10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2" s="19" t="inlineStr">
        <is>
          <t>BS-01</t>
        </is>
      </c>
      <c r="I102" s="19" t="n">
        <v>1</v>
      </c>
      <c r="J102" s="20" t="n">
        <v>219</v>
      </c>
      <c r="K102" s="20" t="n">
        <v>257.6</v>
      </c>
      <c r="L102" s="20" t="n">
        <v>25.86</v>
      </c>
      <c r="M102" s="20" t="n">
        <v>0</v>
      </c>
      <c r="N102" s="20">
        <f>K102*0.08+L102*0.08</f>
        <v/>
      </c>
      <c r="O102" s="20">
        <f>-(K102*0.025+L102*0.025)</f>
        <v/>
      </c>
      <c r="P102" s="20">
        <f>32</f>
        <v/>
      </c>
      <c r="Q102" s="20">
        <f>J102+L102+N102+O102-P102-M102</f>
        <v/>
      </c>
    </row>
    <row r="103">
      <c r="A103" s="19" t="inlineStr">
        <is>
          <t>5.15-5.21</t>
        </is>
      </c>
      <c r="B103" s="19" t="inlineStr">
        <is>
          <t>PO-128-03507277829753127</t>
        </is>
      </c>
      <c r="C103" s="19" t="inlineStr">
        <is>
          <t>Shipped</t>
        </is>
      </c>
      <c r="D103" s="19" t="inlineStr">
        <is>
          <t>128-03507443635833127</t>
        </is>
      </c>
      <c r="E103" s="19" t="inlineStr">
        <is>
          <t>Shipped</t>
        </is>
      </c>
      <c r="F103" s="19" t="inlineStr">
        <is>
          <t>BS-01</t>
        </is>
      </c>
      <c r="G10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3" s="19" t="inlineStr">
        <is>
          <t>BS-01</t>
        </is>
      </c>
      <c r="I103" s="19" t="n">
        <v>1</v>
      </c>
      <c r="J103" s="20" t="n">
        <v>219</v>
      </c>
      <c r="K103" s="20" t="n">
        <v>257.6</v>
      </c>
      <c r="L103" s="20" t="n">
        <v>25.86</v>
      </c>
      <c r="M103" s="20" t="n">
        <v>0</v>
      </c>
      <c r="N103" s="20">
        <f>K103*0.08+L103*0.08</f>
        <v/>
      </c>
      <c r="O103" s="20">
        <f>-(K103*0.025+L103*0.025)</f>
        <v/>
      </c>
      <c r="P103" s="20">
        <f>32</f>
        <v/>
      </c>
      <c r="Q103" s="20">
        <f>J103+L103+N103+O103-P103-M103</f>
        <v/>
      </c>
    </row>
    <row r="104">
      <c r="A104" s="19" t="inlineStr">
        <is>
          <t>5.15-5.21</t>
        </is>
      </c>
      <c r="B104" s="19" t="inlineStr">
        <is>
          <t>PO-128-03655963730552177</t>
        </is>
      </c>
      <c r="C104" s="19" t="inlineStr">
        <is>
          <t>Shipped</t>
        </is>
      </c>
      <c r="D104" s="19" t="inlineStr">
        <is>
          <t>128-03655953244792177</t>
        </is>
      </c>
      <c r="E104" s="19" t="inlineStr">
        <is>
          <t>Shipped</t>
        </is>
      </c>
      <c r="F104" s="19" t="inlineStr">
        <is>
          <t>BS-01</t>
        </is>
      </c>
      <c r="G10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4" s="19" t="inlineStr">
        <is>
          <t>BS-01</t>
        </is>
      </c>
      <c r="I104" s="19" t="n">
        <v>1</v>
      </c>
      <c r="J104" s="20" t="n">
        <v>219</v>
      </c>
      <c r="K104" s="20" t="n">
        <v>225.38</v>
      </c>
      <c r="L104" s="20" t="n">
        <v>25.86</v>
      </c>
      <c r="M104" s="20" t="n">
        <v>0</v>
      </c>
      <c r="N104" s="20">
        <f>K104*0.08+L104*0.08</f>
        <v/>
      </c>
      <c r="O104" s="20">
        <f>-(K104*0.025+L104*0.025)</f>
        <v/>
      </c>
      <c r="P104" s="20">
        <f>32</f>
        <v/>
      </c>
      <c r="Q104" s="20">
        <f>J104+L104+N104+O104-P104-M104</f>
        <v/>
      </c>
    </row>
    <row r="105">
      <c r="A105" s="19" t="inlineStr">
        <is>
          <t>5.15-5.21</t>
        </is>
      </c>
      <c r="B105" s="19" t="inlineStr">
        <is>
          <t>PO-128-04005945493110219</t>
        </is>
      </c>
      <c r="C105" s="19" t="inlineStr">
        <is>
          <t>Shipped</t>
        </is>
      </c>
      <c r="D105" s="19" t="inlineStr">
        <is>
          <t>128-04005908792950219</t>
        </is>
      </c>
      <c r="E105" s="19" t="inlineStr">
        <is>
          <t>Shipped</t>
        </is>
      </c>
      <c r="F105" s="19" t="inlineStr">
        <is>
          <t>BS-01</t>
        </is>
      </c>
      <c r="G10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5" s="19" t="inlineStr">
        <is>
          <t>BS-01</t>
        </is>
      </c>
      <c r="I105" s="19" t="n">
        <v>1</v>
      </c>
      <c r="J105" s="20" t="n">
        <v>219</v>
      </c>
      <c r="K105" s="20" t="n">
        <v>212.1</v>
      </c>
      <c r="L105" s="20" t="n">
        <v>25.86</v>
      </c>
      <c r="M105" s="20" t="n">
        <v>0</v>
      </c>
      <c r="N105" s="20">
        <f>K105*0.08+L105*0.08</f>
        <v/>
      </c>
      <c r="O105" s="20">
        <f>-(K105*0.025+L105*0.025)</f>
        <v/>
      </c>
      <c r="P105" s="20">
        <f>32</f>
        <v/>
      </c>
      <c r="Q105" s="20">
        <f>J105+L105+N105+O105-P105-M105</f>
        <v/>
      </c>
    </row>
    <row r="106">
      <c r="A106" s="19" t="inlineStr">
        <is>
          <t>5.15-5.21</t>
        </is>
      </c>
      <c r="B106" s="19" t="inlineStr">
        <is>
          <t>PO-128-03565299794553740</t>
        </is>
      </c>
      <c r="C106" s="19" t="inlineStr">
        <is>
          <t>Shipped</t>
        </is>
      </c>
      <c r="D106" s="19" t="inlineStr">
        <is>
          <t>128-03565257851513740</t>
        </is>
      </c>
      <c r="E106" s="19" t="inlineStr">
        <is>
          <t>Shipped</t>
        </is>
      </c>
      <c r="F106" s="19" t="inlineStr">
        <is>
          <t>BS-01</t>
        </is>
      </c>
      <c r="G10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6" s="19" t="inlineStr">
        <is>
          <t>BS-01</t>
        </is>
      </c>
      <c r="I106" s="19" t="n">
        <v>1</v>
      </c>
      <c r="J106" s="20" t="n">
        <v>219</v>
      </c>
      <c r="K106" s="20" t="n">
        <v>257.6</v>
      </c>
      <c r="L106" s="20" t="n">
        <v>25.86</v>
      </c>
      <c r="M106" s="20" t="n">
        <v>0</v>
      </c>
      <c r="N106" s="20">
        <f>K106*0.08+L106*0.08</f>
        <v/>
      </c>
      <c r="O106" s="20">
        <f>-(K106*0.025+L106*0.025)</f>
        <v/>
      </c>
      <c r="P106" s="20">
        <f>32</f>
        <v/>
      </c>
      <c r="Q106" s="20">
        <f>J106+L106+N106+O106-P106-M106</f>
        <v/>
      </c>
    </row>
    <row r="107">
      <c r="A107" s="19" t="inlineStr">
        <is>
          <t>5.15-5.21</t>
        </is>
      </c>
      <c r="B107" s="19" t="inlineStr">
        <is>
          <t>PO-128-18277152512631042</t>
        </is>
      </c>
      <c r="C107" s="19" t="inlineStr">
        <is>
          <t>Shipped</t>
        </is>
      </c>
      <c r="D107" s="19" t="inlineStr">
        <is>
          <t>128-18277194455671042</t>
        </is>
      </c>
      <c r="E107" s="19" t="inlineStr">
        <is>
          <t>Shipped</t>
        </is>
      </c>
      <c r="F107" s="19" t="inlineStr">
        <is>
          <t>BS-01</t>
        </is>
      </c>
      <c r="G10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7" s="19" t="inlineStr">
        <is>
          <t>BS-01</t>
        </is>
      </c>
      <c r="I107" s="19" t="n">
        <v>1</v>
      </c>
      <c r="J107" s="20" t="n">
        <v>219</v>
      </c>
      <c r="K107" s="20" t="n">
        <v>257.6</v>
      </c>
      <c r="L107" s="20" t="n">
        <v>25.86</v>
      </c>
      <c r="M107" s="20" t="n">
        <v>0</v>
      </c>
      <c r="N107" s="20">
        <f>K107*0.08+L107*0.08</f>
        <v/>
      </c>
      <c r="O107" s="20">
        <f>-(K107*0.025+L107*0.025)</f>
        <v/>
      </c>
      <c r="P107" s="20">
        <f>32</f>
        <v/>
      </c>
      <c r="Q107" s="20">
        <f>J107+L107+N107+O107-P107-M107</f>
        <v/>
      </c>
    </row>
    <row r="108">
      <c r="A108" s="19" t="inlineStr">
        <is>
          <t>5.15-5.21</t>
        </is>
      </c>
      <c r="B108" s="19" t="inlineStr">
        <is>
          <t>PO-128-18389746977910437</t>
        </is>
      </c>
      <c r="C108" s="19" t="inlineStr">
        <is>
          <t>Shipped</t>
        </is>
      </c>
      <c r="D108" s="19" t="inlineStr">
        <is>
          <t>128-18389726006390437</t>
        </is>
      </c>
      <c r="E108" s="19" t="inlineStr">
        <is>
          <t>Shipped</t>
        </is>
      </c>
      <c r="F108" s="19" t="inlineStr">
        <is>
          <t>S-10302</t>
        </is>
      </c>
      <c r="G108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108" s="19" t="inlineStr">
        <is>
          <t>s-10302</t>
        </is>
      </c>
      <c r="I108" s="19" t="n">
        <v>1</v>
      </c>
      <c r="J108" s="20" t="n">
        <v>65</v>
      </c>
      <c r="K108" s="20" t="n">
        <v>76.90000000000001</v>
      </c>
      <c r="L108" s="20" t="n">
        <v>25.86</v>
      </c>
      <c r="M108" s="20" t="n">
        <v>0</v>
      </c>
      <c r="N108" s="20">
        <f>K108*0.08+L108*0.08</f>
        <v/>
      </c>
      <c r="O108" s="20">
        <f>-(K108*0.025+L108*0.025)</f>
        <v/>
      </c>
      <c r="P108" s="20">
        <f>32</f>
        <v/>
      </c>
      <c r="Q108" s="20">
        <f>J108+L108+N108+O108-P108-M108</f>
        <v/>
      </c>
    </row>
    <row r="109">
      <c r="A109" s="19" t="inlineStr">
        <is>
          <t>5.15-5.21</t>
        </is>
      </c>
      <c r="B109" s="19" t="inlineStr">
        <is>
          <t>PO-128-17943313316473160</t>
        </is>
      </c>
      <c r="C109" s="19" t="inlineStr">
        <is>
          <t>Shipped</t>
        </is>
      </c>
      <c r="D109" s="19" t="inlineStr">
        <is>
          <t>128-17943355259513160</t>
        </is>
      </c>
      <c r="E109" s="19" t="inlineStr">
        <is>
          <t>Shipped</t>
        </is>
      </c>
      <c r="F109" s="19" t="inlineStr">
        <is>
          <t>BS-01</t>
        </is>
      </c>
      <c r="G10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9" s="19" t="inlineStr">
        <is>
          <t>BS-01</t>
        </is>
      </c>
      <c r="I109" s="19" t="n">
        <v>1</v>
      </c>
      <c r="J109" s="20" t="n">
        <v>219</v>
      </c>
      <c r="K109" s="20" t="n">
        <v>257.6</v>
      </c>
      <c r="L109" s="20" t="n">
        <v>25.86</v>
      </c>
      <c r="M109" s="20" t="n">
        <v>0</v>
      </c>
      <c r="N109" s="20">
        <f>K109*0.08+L109*0.08</f>
        <v/>
      </c>
      <c r="O109" s="20">
        <f>-(K109*0.025+L109*0.025)</f>
        <v/>
      </c>
      <c r="P109" s="20">
        <f>32</f>
        <v/>
      </c>
      <c r="Q109" s="20">
        <f>J109+L109+N109+O109-P109-M109</f>
        <v/>
      </c>
    </row>
    <row r="110">
      <c r="A110" s="19" t="inlineStr">
        <is>
          <t>5.15-5.21</t>
        </is>
      </c>
      <c r="B110" s="19" t="inlineStr">
        <is>
          <t>PO-128-17927286113913320</t>
        </is>
      </c>
      <c r="C110" s="19" t="inlineStr">
        <is>
          <t>Shipped</t>
        </is>
      </c>
      <c r="D110" s="19" t="inlineStr">
        <is>
          <t>128-17927275628153320</t>
        </is>
      </c>
      <c r="E110" s="19" t="inlineStr">
        <is>
          <t>Shipped</t>
        </is>
      </c>
      <c r="F110" s="19" t="inlineStr">
        <is>
          <t>BS-01</t>
        </is>
      </c>
      <c r="G11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0" s="19" t="inlineStr">
        <is>
          <t>BS-01</t>
        </is>
      </c>
      <c r="I110" s="19" t="n">
        <v>1</v>
      </c>
      <c r="J110" s="20" t="n">
        <v>219</v>
      </c>
      <c r="K110" s="20" t="n">
        <v>257.6</v>
      </c>
      <c r="L110" s="20" t="n">
        <v>25.86</v>
      </c>
      <c r="M110" s="20" t="n">
        <v>0</v>
      </c>
      <c r="N110" s="20">
        <f>K110*0.08+L110*0.08</f>
        <v/>
      </c>
      <c r="O110" s="20">
        <f>-(K110*0.025+L110*0.025)</f>
        <v/>
      </c>
      <c r="P110" s="20">
        <f>32</f>
        <v/>
      </c>
      <c r="Q110" s="20">
        <f>J110+L110+N110+O110-P110-M110</f>
        <v/>
      </c>
    </row>
    <row r="111">
      <c r="A111" s="19" t="inlineStr">
        <is>
          <t>5.15-5.21</t>
        </is>
      </c>
      <c r="B111" s="19" t="inlineStr">
        <is>
          <t>PO-128-18389718753910437</t>
        </is>
      </c>
      <c r="C111" s="19" t="inlineStr">
        <is>
          <t>Shipped</t>
        </is>
      </c>
      <c r="D111" s="19" t="inlineStr">
        <is>
          <t>128-18389760696950437</t>
        </is>
      </c>
      <c r="E111" s="19" t="inlineStr">
        <is>
          <t>Shipped</t>
        </is>
      </c>
      <c r="F111" s="19" t="inlineStr">
        <is>
          <t>S-10302</t>
        </is>
      </c>
      <c r="G111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111" s="19" t="inlineStr">
        <is>
          <t>s-10302</t>
        </is>
      </c>
      <c r="I111" s="19" t="n">
        <v>1</v>
      </c>
      <c r="J111" s="20" t="n">
        <v>65</v>
      </c>
      <c r="K111" s="20" t="n">
        <v>23.45</v>
      </c>
      <c r="L111" s="20" t="n">
        <v>25.86</v>
      </c>
      <c r="M111" s="20" t="n">
        <v>0</v>
      </c>
      <c r="N111" s="20">
        <f>K111*0.08+L111*0.08</f>
        <v/>
      </c>
      <c r="O111" s="20">
        <f>-(K111*0.025+L111*0.025)</f>
        <v/>
      </c>
      <c r="P111" s="20">
        <f>32</f>
        <v/>
      </c>
      <c r="Q111" s="20">
        <f>J111+L111+N111+O111-P111-M111</f>
        <v/>
      </c>
    </row>
    <row r="112">
      <c r="A112" s="19" t="inlineStr">
        <is>
          <t>5.15-5.21</t>
        </is>
      </c>
      <c r="B112" s="19" t="inlineStr">
        <is>
          <t>PO-128-18218586839671457</t>
        </is>
      </c>
      <c r="C112" s="19" t="inlineStr">
        <is>
          <t>Shipped</t>
        </is>
      </c>
      <c r="D112" s="19" t="inlineStr">
        <is>
          <t>128-18218597325431457</t>
        </is>
      </c>
      <c r="E112" s="19" t="inlineStr">
        <is>
          <t>Shipped</t>
        </is>
      </c>
      <c r="F112" s="19" t="inlineStr">
        <is>
          <t>BS-09</t>
        </is>
      </c>
      <c r="G112" s="19" t="inlineStr">
        <is>
          <t>Altavoz de barra para PC con iluminación RGB, sonido de alta fidelidad y múltiples conexiones: Bluetooth, radio FM, USB, TF, AUX y TWS. Ideal para juegos, reuniones y cine en casa.</t>
        </is>
      </c>
      <c r="H112" s="19" t="inlineStr">
        <is>
          <t>NEGRO</t>
        </is>
      </c>
      <c r="I112" s="19" t="n">
        <v>1</v>
      </c>
      <c r="J112" s="20" t="n">
        <v>114</v>
      </c>
      <c r="K112" s="20" t="n">
        <v>142.38</v>
      </c>
      <c r="L112" s="20" t="n">
        <v>25.86</v>
      </c>
      <c r="M112" s="20" t="n">
        <v>0</v>
      </c>
      <c r="N112" s="20">
        <f>K112*0.08+L112*0.08</f>
        <v/>
      </c>
      <c r="O112" s="20">
        <f>-(K112*0.025+L112*0.025)</f>
        <v/>
      </c>
      <c r="P112" s="20">
        <f>32</f>
        <v/>
      </c>
      <c r="Q112" s="20">
        <f>J112+L112+N112+O112-P112-M112</f>
        <v/>
      </c>
    </row>
    <row r="113">
      <c r="A113" s="19" t="inlineStr">
        <is>
          <t>5.15-5.21</t>
        </is>
      </c>
      <c r="B113" s="19" t="inlineStr">
        <is>
          <t>PO-128-18386735473270391</t>
        </is>
      </c>
      <c r="C113" s="19" t="inlineStr">
        <is>
          <t>Shipped</t>
        </is>
      </c>
      <c r="D113" s="19" t="inlineStr">
        <is>
          <t>128-18386777416310391</t>
        </is>
      </c>
      <c r="E113" s="19" t="inlineStr">
        <is>
          <t>Shipped</t>
        </is>
      </c>
      <c r="F113" s="19" t="inlineStr">
        <is>
          <t>BS-01</t>
        </is>
      </c>
      <c r="G11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3" s="19" t="inlineStr">
        <is>
          <t>BS-01</t>
        </is>
      </c>
      <c r="I113" s="19" t="n">
        <v>1</v>
      </c>
      <c r="J113" s="20" t="n">
        <v>215</v>
      </c>
      <c r="K113" s="20" t="n">
        <v>253.6</v>
      </c>
      <c r="L113" s="20" t="n">
        <v>25.86</v>
      </c>
      <c r="M113" s="20" t="n">
        <v>0</v>
      </c>
      <c r="N113" s="20">
        <f>K113*0.08+L113*0.08</f>
        <v/>
      </c>
      <c r="O113" s="20">
        <f>-(K113*0.025+L113*0.025)</f>
        <v/>
      </c>
      <c r="P113" s="20">
        <f>32</f>
        <v/>
      </c>
      <c r="Q113" s="20">
        <f>J113+L113+N113+O113-P113-M113</f>
        <v/>
      </c>
    </row>
    <row r="114">
      <c r="A114" s="19" t="inlineStr">
        <is>
          <t>5.15-5.21</t>
        </is>
      </c>
      <c r="B114" s="19" t="inlineStr">
        <is>
          <t>PO-128-18139486700153017</t>
        </is>
      </c>
      <c r="C114" s="19" t="inlineStr">
        <is>
          <t>Shipped</t>
        </is>
      </c>
      <c r="D114" s="19" t="inlineStr">
        <is>
          <t>128-18139499807353017</t>
        </is>
      </c>
      <c r="E114" s="19" t="inlineStr">
        <is>
          <t>Shipped</t>
        </is>
      </c>
      <c r="F114" s="19" t="inlineStr">
        <is>
          <t>S-10302</t>
        </is>
      </c>
      <c r="G114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114" s="19" t="inlineStr">
        <is>
          <t>s-10302</t>
        </is>
      </c>
      <c r="I114" s="19" t="n">
        <v>1</v>
      </c>
      <c r="J114" s="20" t="n">
        <v>60.34</v>
      </c>
      <c r="K114" s="20" t="n">
        <v>72.23999999999999</v>
      </c>
      <c r="L114" s="20" t="n">
        <v>25.86</v>
      </c>
      <c r="M114" s="20" t="n">
        <v>0</v>
      </c>
      <c r="N114" s="20">
        <f>K114*0.08+L114*0.08</f>
        <v/>
      </c>
      <c r="O114" s="20">
        <f>-(K114*0.025+L114*0.025)</f>
        <v/>
      </c>
      <c r="P114" s="20">
        <f>32</f>
        <v/>
      </c>
      <c r="Q114" s="20">
        <f>J114+L114+N114+O114-P114-M114</f>
        <v/>
      </c>
    </row>
    <row r="115">
      <c r="A115" s="19" t="inlineStr">
        <is>
          <t>5.15-5.21</t>
        </is>
      </c>
      <c r="B115" s="19" t="inlineStr">
        <is>
          <t>PO-128-18135676314233039</t>
        </is>
      </c>
      <c r="C115" s="19" t="inlineStr">
        <is>
          <t>Shipped</t>
        </is>
      </c>
      <c r="D115" s="19" t="inlineStr">
        <is>
          <t>128-18135828357753039</t>
        </is>
      </c>
      <c r="E115" s="19" t="inlineStr">
        <is>
          <t>Shipped</t>
        </is>
      </c>
      <c r="F115" s="19" t="inlineStr">
        <is>
          <t>BS-01</t>
        </is>
      </c>
      <c r="G11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5" s="19" t="inlineStr">
        <is>
          <t>BS-01</t>
        </is>
      </c>
      <c r="I115" s="19" t="n">
        <v>1</v>
      </c>
      <c r="J115" s="20" t="n">
        <v>215</v>
      </c>
      <c r="K115" s="20" t="n">
        <v>253.6</v>
      </c>
      <c r="L115" s="20" t="n">
        <v>25.86</v>
      </c>
      <c r="M115" s="20" t="n">
        <v>0</v>
      </c>
      <c r="N115" s="20">
        <f>K115*0.08+L115*0.08</f>
        <v/>
      </c>
      <c r="O115" s="20">
        <f>-(K115*0.025+L115*0.025)</f>
        <v/>
      </c>
      <c r="P115" s="20">
        <f>32</f>
        <v/>
      </c>
      <c r="Q115" s="20">
        <f>J115+L115+N115+O115-P115-M115</f>
        <v/>
      </c>
    </row>
    <row r="116">
      <c r="A116" s="19" t="inlineStr">
        <is>
          <t>5.15-5.21</t>
        </is>
      </c>
      <c r="B116" s="19" t="inlineStr">
        <is>
          <t>PO-128-18405921654390277</t>
        </is>
      </c>
      <c r="C116" s="19" t="inlineStr">
        <is>
          <t>Shipped</t>
        </is>
      </c>
      <c r="D116" s="19" t="inlineStr">
        <is>
          <t>128-18405879711350277</t>
        </is>
      </c>
      <c r="E116" s="19" t="inlineStr">
        <is>
          <t>Shipped</t>
        </is>
      </c>
      <c r="F116" s="19" t="inlineStr">
        <is>
          <t>BS-01</t>
        </is>
      </c>
      <c r="G11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6" s="19" t="inlineStr">
        <is>
          <t>BS-01</t>
        </is>
      </c>
      <c r="I116" s="19" t="n">
        <v>1</v>
      </c>
      <c r="J116" s="20" t="n">
        <v>215</v>
      </c>
      <c r="K116" s="20" t="n">
        <v>253.6</v>
      </c>
      <c r="L116" s="20" t="n">
        <v>25.86</v>
      </c>
      <c r="M116" s="20" t="n">
        <v>0</v>
      </c>
      <c r="N116" s="20">
        <f>K116*0.08+L116*0.08</f>
        <v/>
      </c>
      <c r="O116" s="20">
        <f>-(K116*0.025+L116*0.025)</f>
        <v/>
      </c>
      <c r="P116" s="20">
        <f>32</f>
        <v/>
      </c>
      <c r="Q116" s="20">
        <f>J116+L116+N116+O116-P116-M116</f>
        <v/>
      </c>
    </row>
    <row r="117">
      <c r="A117" s="19" t="inlineStr">
        <is>
          <t>5.15-5.21</t>
        </is>
      </c>
      <c r="B117" s="19" t="inlineStr">
        <is>
          <t>PO-128-18089521848952227</t>
        </is>
      </c>
      <c r="C117" s="19" t="inlineStr">
        <is>
          <t>Shipped</t>
        </is>
      </c>
      <c r="D117" s="19" t="inlineStr">
        <is>
          <t>128-18089500877432227</t>
        </is>
      </c>
      <c r="E117" s="19" t="inlineStr">
        <is>
          <t>Shipped</t>
        </is>
      </c>
      <c r="F117" s="19" t="inlineStr">
        <is>
          <t>BS-01</t>
        </is>
      </c>
      <c r="G11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7" s="19" t="inlineStr">
        <is>
          <t>BS-01</t>
        </is>
      </c>
      <c r="I117" s="19" t="n">
        <v>1</v>
      </c>
      <c r="J117" s="20" t="n">
        <v>215</v>
      </c>
      <c r="K117" s="20" t="n">
        <v>253.6</v>
      </c>
      <c r="L117" s="20" t="n">
        <v>0</v>
      </c>
      <c r="M117" s="20" t="n">
        <v>0</v>
      </c>
      <c r="N117" s="20">
        <f>K117*0.08+L117*0.08</f>
        <v/>
      </c>
      <c r="O117" s="20">
        <f>-(K117*0.025+L117*0.025)</f>
        <v/>
      </c>
      <c r="P117" s="20">
        <f>32</f>
        <v/>
      </c>
      <c r="Q117" s="20">
        <f>J117+L117+N117+O117-P117-M117</f>
        <v/>
      </c>
    </row>
    <row r="118">
      <c r="A118" s="19" t="inlineStr">
        <is>
          <t>5.15-5.21</t>
        </is>
      </c>
      <c r="B118" s="19" t="inlineStr">
        <is>
          <t>PO-128-18089521848952227</t>
        </is>
      </c>
      <c r="C118" s="19" t="inlineStr">
        <is>
          <t>Shipped</t>
        </is>
      </c>
      <c r="D118" s="19" t="inlineStr">
        <is>
          <t>128-18089511363192227</t>
        </is>
      </c>
      <c r="E118" s="19" t="inlineStr">
        <is>
          <t>Shipped</t>
        </is>
      </c>
      <c r="F118" s="19" t="inlineStr">
        <is>
          <t>IE01MB</t>
        </is>
      </c>
      <c r="G118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18" s="19" t="inlineStr">
        <is>
          <t>1 pieza</t>
        </is>
      </c>
      <c r="I118" s="19" t="n">
        <v>1</v>
      </c>
      <c r="J118" s="20" t="n">
        <v>17.4</v>
      </c>
      <c r="K118" s="20" t="n">
        <v>23.28</v>
      </c>
      <c r="L118" s="20" t="n">
        <v>0</v>
      </c>
      <c r="M118" s="20" t="n">
        <v>0</v>
      </c>
      <c r="N118" s="20">
        <f>K118*0.08+L118*0.08</f>
        <v/>
      </c>
      <c r="O118" s="20">
        <f>-(K118*0.025+L118*0.025)</f>
        <v/>
      </c>
      <c r="P118" s="20">
        <f>32</f>
        <v/>
      </c>
      <c r="Q118" s="20">
        <f>J118+L118+N118+O118-P118-M118</f>
        <v/>
      </c>
    </row>
    <row r="119">
      <c r="A119" s="19" t="inlineStr">
        <is>
          <t>5.15-5.21</t>
        </is>
      </c>
      <c r="B119" s="19" t="inlineStr">
        <is>
          <t>PO-128-07158214789752868</t>
        </is>
      </c>
      <c r="C119" s="19" t="inlineStr">
        <is>
          <t>Shipped</t>
        </is>
      </c>
      <c r="D119" s="19" t="inlineStr">
        <is>
          <t>128-07158230518392868</t>
        </is>
      </c>
      <c r="E119" s="19" t="inlineStr">
        <is>
          <t>Shipped</t>
        </is>
      </c>
      <c r="F119" s="19" t="inlineStr">
        <is>
          <t>BS-01</t>
        </is>
      </c>
      <c r="G11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9" s="19" t="inlineStr">
        <is>
          <t>BS-01</t>
        </is>
      </c>
      <c r="I119" s="19" t="n">
        <v>1</v>
      </c>
      <c r="J119" s="20" t="n">
        <v>215</v>
      </c>
      <c r="K119" s="20" t="n">
        <v>253.6</v>
      </c>
      <c r="L119" s="20" t="n">
        <v>25.86</v>
      </c>
      <c r="M119" s="20" t="n">
        <v>0</v>
      </c>
      <c r="N119" s="20">
        <f>K119*0.08+L119*0.08</f>
        <v/>
      </c>
      <c r="O119" s="20">
        <f>-(K119*0.025+L119*0.025)</f>
        <v/>
      </c>
      <c r="P119" s="20">
        <f>32</f>
        <v/>
      </c>
      <c r="Q119" s="20">
        <f>J119+L119+N119+O119-P119-M119</f>
        <v/>
      </c>
    </row>
    <row r="120">
      <c r="A120" s="19" t="inlineStr">
        <is>
          <t>5.15-5.21</t>
        </is>
      </c>
      <c r="B120" s="19" t="inlineStr">
        <is>
          <t>PO-128-06919714181753202</t>
        </is>
      </c>
      <c r="C120" s="19" t="inlineStr">
        <is>
          <t>Shipped</t>
        </is>
      </c>
      <c r="D120" s="19" t="inlineStr">
        <is>
          <t>128-06919735153273202</t>
        </is>
      </c>
      <c r="E120" s="19" t="inlineStr">
        <is>
          <t>Shipped</t>
        </is>
      </c>
      <c r="F120" s="19" t="inlineStr">
        <is>
          <t>BS-01</t>
        </is>
      </c>
      <c r="G12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0" s="19" t="inlineStr">
        <is>
          <t>BS-01</t>
        </is>
      </c>
      <c r="I120" s="19" t="n">
        <v>1</v>
      </c>
      <c r="J120" s="20" t="n">
        <v>215</v>
      </c>
      <c r="K120" s="20" t="n">
        <v>253.6</v>
      </c>
      <c r="L120" s="20" t="n">
        <v>25.86</v>
      </c>
      <c r="M120" s="20" t="n">
        <v>0</v>
      </c>
      <c r="N120" s="20">
        <f>K120*0.08+L120*0.08</f>
        <v/>
      </c>
      <c r="O120" s="20">
        <f>-(K120*0.025+L120*0.025)</f>
        <v/>
      </c>
      <c r="P120" s="20">
        <f>32</f>
        <v/>
      </c>
      <c r="Q120" s="20">
        <f>J120+L120+N120+O120-P120-M120</f>
        <v/>
      </c>
    </row>
    <row r="121">
      <c r="A121" s="19" t="inlineStr">
        <is>
          <t>5.15-5.21</t>
        </is>
      </c>
      <c r="B121" s="19" t="inlineStr">
        <is>
          <t>PO-128-07424349453430322</t>
        </is>
      </c>
      <c r="C121" s="19" t="inlineStr">
        <is>
          <t>Shipped</t>
        </is>
      </c>
      <c r="D121" s="19" t="inlineStr">
        <is>
          <t>128-07424338967670322</t>
        </is>
      </c>
      <c r="E121" s="19" t="inlineStr">
        <is>
          <t>Shipped</t>
        </is>
      </c>
      <c r="F121" s="19" t="inlineStr">
        <is>
          <t>BS-01</t>
        </is>
      </c>
      <c r="G12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1" s="19" t="inlineStr">
        <is>
          <t>BS-01</t>
        </is>
      </c>
      <c r="I121" s="19" t="n">
        <v>1</v>
      </c>
      <c r="J121" s="20" t="n">
        <v>215</v>
      </c>
      <c r="K121" s="20" t="n">
        <v>253.6</v>
      </c>
      <c r="L121" s="20" t="n">
        <v>25.86</v>
      </c>
      <c r="M121" s="20" t="n">
        <v>0</v>
      </c>
      <c r="N121" s="20">
        <f>K121*0.08+L121*0.08</f>
        <v/>
      </c>
      <c r="O121" s="20">
        <f>-(K121*0.025+L121*0.025)</f>
        <v/>
      </c>
      <c r="P121" s="20">
        <f>32</f>
        <v/>
      </c>
      <c r="Q121" s="20">
        <f>J121+L121+N121+O121-P121-M121</f>
        <v/>
      </c>
    </row>
    <row r="122">
      <c r="A122" s="19" t="inlineStr">
        <is>
          <t>5.15-5.21</t>
        </is>
      </c>
      <c r="B122" s="19" t="inlineStr">
        <is>
          <t>PO-128-07272696673911226</t>
        </is>
      </c>
      <c r="C122" s="19" t="inlineStr">
        <is>
          <t>Shipped</t>
        </is>
      </c>
      <c r="D122" s="19" t="inlineStr">
        <is>
          <t>128-07272633759351226</t>
        </is>
      </c>
      <c r="E122" s="19" t="inlineStr">
        <is>
          <t>Shipped</t>
        </is>
      </c>
      <c r="F122" s="19" t="inlineStr">
        <is>
          <t>BS-01</t>
        </is>
      </c>
      <c r="G12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2" s="19" t="inlineStr">
        <is>
          <t>BS-01</t>
        </is>
      </c>
      <c r="I122" s="19" t="n">
        <v>1</v>
      </c>
      <c r="J122" s="20" t="n">
        <v>215</v>
      </c>
      <c r="K122" s="20" t="n">
        <v>202.88</v>
      </c>
      <c r="L122" s="20" t="n">
        <v>25.86</v>
      </c>
      <c r="M122" s="20" t="n">
        <v>0</v>
      </c>
      <c r="N122" s="20">
        <f>K122*0.08+L122*0.08</f>
        <v/>
      </c>
      <c r="O122" s="20">
        <f>-(K122*0.025+L122*0.025)</f>
        <v/>
      </c>
      <c r="P122" s="20">
        <f>32</f>
        <v/>
      </c>
      <c r="Q122" s="20">
        <f>J122+L122+N122+O122-P122-M122</f>
        <v/>
      </c>
    </row>
    <row r="123">
      <c r="A123" s="19" t="inlineStr">
        <is>
          <t>5.15-5.21</t>
        </is>
      </c>
      <c r="B123" s="19" t="inlineStr">
        <is>
          <t>PO-128-07403704740470511</t>
        </is>
      </c>
      <c r="C123" s="19" t="inlineStr">
        <is>
          <t>Shipped</t>
        </is>
      </c>
      <c r="D123" s="19" t="inlineStr">
        <is>
          <t>128-07403780762230511</t>
        </is>
      </c>
      <c r="E123" s="19" t="inlineStr">
        <is>
          <t>Shipped</t>
        </is>
      </c>
      <c r="F123" s="19" t="inlineStr">
        <is>
          <t>BS-01</t>
        </is>
      </c>
      <c r="G12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3" s="19" t="inlineStr">
        <is>
          <t>BS-01</t>
        </is>
      </c>
      <c r="I123" s="19" t="n">
        <v>1</v>
      </c>
      <c r="J123" s="20" t="n">
        <v>215</v>
      </c>
      <c r="K123" s="20" t="n">
        <v>253.6</v>
      </c>
      <c r="L123" s="20" t="n">
        <v>25.86</v>
      </c>
      <c r="M123" s="20" t="n">
        <v>0</v>
      </c>
      <c r="N123" s="20">
        <f>K123*0.08+L123*0.08</f>
        <v/>
      </c>
      <c r="O123" s="20">
        <f>-(K123*0.025+L123*0.025)</f>
        <v/>
      </c>
      <c r="P123" s="20">
        <f>32</f>
        <v/>
      </c>
      <c r="Q123" s="20">
        <f>J123+L123+N123+O123-P123-M123</f>
        <v/>
      </c>
    </row>
    <row r="124">
      <c r="A124" s="19" t="inlineStr">
        <is>
          <t>5.15-5.21</t>
        </is>
      </c>
      <c r="B124" s="19" t="inlineStr">
        <is>
          <t>PO-128-06920771994233261</t>
        </is>
      </c>
      <c r="C124" s="19" t="inlineStr">
        <is>
          <t>Shipped</t>
        </is>
      </c>
      <c r="D124" s="19" t="inlineStr">
        <is>
          <t>128-06920806072953261</t>
        </is>
      </c>
      <c r="E124" s="19" t="inlineStr">
        <is>
          <t>Shipped</t>
        </is>
      </c>
      <c r="F124" s="19" t="inlineStr">
        <is>
          <t>BS-01</t>
        </is>
      </c>
      <c r="G12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4" s="19" t="inlineStr">
        <is>
          <t>BS-01</t>
        </is>
      </c>
      <c r="I124" s="19" t="n">
        <v>1</v>
      </c>
      <c r="J124" s="20" t="n">
        <v>215</v>
      </c>
      <c r="K124" s="20" t="n">
        <v>202.88</v>
      </c>
      <c r="L124" s="20" t="n">
        <v>25.86</v>
      </c>
      <c r="M124" s="20" t="n">
        <v>0</v>
      </c>
      <c r="N124" s="20">
        <f>K124*0.08+L124*0.08</f>
        <v/>
      </c>
      <c r="O124" s="20">
        <f>-(K124*0.025+L124*0.025)</f>
        <v/>
      </c>
      <c r="P124" s="20">
        <f>32</f>
        <v/>
      </c>
      <c r="Q124" s="20">
        <f>J124+L124+N124+O124-P124-M124</f>
        <v/>
      </c>
    </row>
    <row r="125">
      <c r="A125" s="19" t="inlineStr">
        <is>
          <t>5.15-5.21</t>
        </is>
      </c>
      <c r="B125" s="19" t="inlineStr">
        <is>
          <t>PO-128-07094428611192224</t>
        </is>
      </c>
      <c r="C125" s="19" t="inlineStr">
        <is>
          <t>Shipped</t>
        </is>
      </c>
      <c r="D125" s="19" t="inlineStr">
        <is>
          <t>128-07094439096952224</t>
        </is>
      </c>
      <c r="E125" s="19" t="inlineStr">
        <is>
          <t>Shipped</t>
        </is>
      </c>
      <c r="F125" s="19" t="inlineStr">
        <is>
          <t>BS-01</t>
        </is>
      </c>
      <c r="G12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5" s="19" t="inlineStr">
        <is>
          <t>BS-01</t>
        </is>
      </c>
      <c r="I125" s="19" t="n">
        <v>1</v>
      </c>
      <c r="J125" s="20" t="n">
        <v>215</v>
      </c>
      <c r="K125" s="20" t="n">
        <v>253.6</v>
      </c>
      <c r="L125" s="20" t="n">
        <v>25.86</v>
      </c>
      <c r="M125" s="20" t="n">
        <v>0</v>
      </c>
      <c r="N125" s="20">
        <f>K125*0.08+L125*0.08</f>
        <v/>
      </c>
      <c r="O125" s="20">
        <f>-(K125*0.025+L125*0.025)</f>
        <v/>
      </c>
      <c r="P125" s="20">
        <f>32</f>
        <v/>
      </c>
      <c r="Q125" s="20">
        <f>J125+L125+N125+O125-P125-M125</f>
        <v/>
      </c>
    </row>
    <row r="126">
      <c r="A126" s="19" t="inlineStr">
        <is>
          <t>5.15-5.21</t>
        </is>
      </c>
      <c r="B126" s="19" t="inlineStr">
        <is>
          <t>PO-128-07081278792312369</t>
        </is>
      </c>
      <c r="C126" s="19" t="inlineStr">
        <is>
          <t>Shipped</t>
        </is>
      </c>
      <c r="D126" s="19" t="inlineStr">
        <is>
          <t>128-07081215877752369</t>
        </is>
      </c>
      <c r="E126" s="19" t="inlineStr">
        <is>
          <t>Shipped</t>
        </is>
      </c>
      <c r="F126" s="19" t="inlineStr">
        <is>
          <t>BS-01</t>
        </is>
      </c>
      <c r="G12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6" s="19" t="inlineStr">
        <is>
          <t>BS-01</t>
        </is>
      </c>
      <c r="I126" s="19" t="n">
        <v>1</v>
      </c>
      <c r="J126" s="20" t="n">
        <v>215</v>
      </c>
      <c r="K126" s="20" t="n">
        <v>217.57</v>
      </c>
      <c r="L126" s="20" t="n">
        <v>25.86</v>
      </c>
      <c r="M126" s="20" t="n">
        <v>0</v>
      </c>
      <c r="N126" s="20">
        <f>K126*0.08+L126*0.08</f>
        <v/>
      </c>
      <c r="O126" s="20">
        <f>-(K126*0.025+L126*0.025)</f>
        <v/>
      </c>
      <c r="P126" s="20">
        <f>32</f>
        <v/>
      </c>
      <c r="Q126" s="20">
        <f>J126+L126+N126+O126-P126-M126</f>
        <v/>
      </c>
    </row>
    <row r="127">
      <c r="A127" s="19" t="inlineStr">
        <is>
          <t>5.15-5.21</t>
        </is>
      </c>
      <c r="B127" s="19" t="inlineStr">
        <is>
          <t>PO-128-07273655450231220</t>
        </is>
      </c>
      <c r="C127" s="19" t="inlineStr">
        <is>
          <t>Shipped</t>
        </is>
      </c>
      <c r="D127" s="19" t="inlineStr">
        <is>
          <t>128-07273697393271220</t>
        </is>
      </c>
      <c r="E127" s="19" t="inlineStr">
        <is>
          <t>Shipped</t>
        </is>
      </c>
      <c r="F127" s="19" t="inlineStr">
        <is>
          <t>BS-01</t>
        </is>
      </c>
      <c r="G12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7" s="19" t="inlineStr">
        <is>
          <t>BS-01</t>
        </is>
      </c>
      <c r="I127" s="19" t="n">
        <v>1</v>
      </c>
      <c r="J127" s="20" t="n">
        <v>215</v>
      </c>
      <c r="K127" s="20" t="n">
        <v>253.6</v>
      </c>
      <c r="L127" s="20" t="n">
        <v>25.86</v>
      </c>
      <c r="M127" s="20" t="n">
        <v>0</v>
      </c>
      <c r="N127" s="20">
        <f>K127*0.08+L127*0.08</f>
        <v/>
      </c>
      <c r="O127" s="20">
        <f>-(K127*0.025+L127*0.025)</f>
        <v/>
      </c>
      <c r="P127" s="20">
        <f>32</f>
        <v/>
      </c>
      <c r="Q127" s="20">
        <f>J127+L127+N127+O127-P127-M127</f>
        <v/>
      </c>
    </row>
    <row r="128">
      <c r="A128" s="19" t="inlineStr">
        <is>
          <t>5.15-5.21</t>
        </is>
      </c>
      <c r="B128" s="19" t="inlineStr">
        <is>
          <t>PO-128-07020676239993816</t>
        </is>
      </c>
      <c r="C128" s="19" t="inlineStr">
        <is>
          <t>Shipped</t>
        </is>
      </c>
      <c r="D128" s="19" t="inlineStr">
        <is>
          <t>128-07020623811193816</t>
        </is>
      </c>
      <c r="E128" s="19" t="inlineStr">
        <is>
          <t>Shipped</t>
        </is>
      </c>
      <c r="F128" s="19" t="inlineStr">
        <is>
          <t>BS-09</t>
        </is>
      </c>
      <c r="G128" s="19" t="inlineStr">
        <is>
          <t>Altavoz de barra para PC con iluminación RGB, sonido de alta fidelidad y múltiples conexiones: Bluetooth, radio FM, USB, TF, AUX y TWS. Ideal para juegos, reuniones y cine en casa.</t>
        </is>
      </c>
      <c r="H128" s="19" t="inlineStr">
        <is>
          <t>NEGRO</t>
        </is>
      </c>
      <c r="I128" s="19" t="n">
        <v>1</v>
      </c>
      <c r="J128" s="20" t="n">
        <v>114</v>
      </c>
      <c r="K128" s="20" t="n">
        <v>142.38</v>
      </c>
      <c r="L128" s="20" t="n">
        <v>25.86</v>
      </c>
      <c r="M128" s="20" t="n">
        <v>0</v>
      </c>
      <c r="N128" s="20">
        <f>K128*0.08+L128*0.08</f>
        <v/>
      </c>
      <c r="O128" s="20">
        <f>-(K128*0.025+L128*0.025)</f>
        <v/>
      </c>
      <c r="P128" s="20">
        <f>32</f>
        <v/>
      </c>
      <c r="Q128" s="20">
        <f>J128+L128+N128+O128-P128-M128</f>
        <v/>
      </c>
    </row>
    <row r="129">
      <c r="A129" s="19" t="inlineStr">
        <is>
          <t>5.15-5.21</t>
        </is>
      </c>
      <c r="B129" s="19" t="inlineStr">
        <is>
          <t>PO-128-06928201032313281</t>
        </is>
      </c>
      <c r="C129" s="19" t="inlineStr">
        <is>
          <t>Shipped</t>
        </is>
      </c>
      <c r="D129" s="19" t="inlineStr">
        <is>
          <t>128-06928227246713281</t>
        </is>
      </c>
      <c r="E129" s="19" t="inlineStr">
        <is>
          <t>Shipped</t>
        </is>
      </c>
      <c r="F129" s="19" t="inlineStr">
        <is>
          <t>BS-01</t>
        </is>
      </c>
      <c r="G12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9" s="19" t="inlineStr">
        <is>
          <t>BS-01</t>
        </is>
      </c>
      <c r="I129" s="19" t="n">
        <v>1</v>
      </c>
      <c r="J129" s="20" t="n">
        <v>215</v>
      </c>
      <c r="K129" s="20" t="n">
        <v>253.6</v>
      </c>
      <c r="L129" s="20" t="n">
        <v>25.86</v>
      </c>
      <c r="M129" s="20" t="n">
        <v>0</v>
      </c>
      <c r="N129" s="20">
        <f>K129*0.08+L129*0.08</f>
        <v/>
      </c>
      <c r="O129" s="20">
        <f>-(K129*0.025+L129*0.025)</f>
        <v/>
      </c>
      <c r="P129" s="20">
        <f>32</f>
        <v/>
      </c>
      <c r="Q129" s="20">
        <f>J129+L129+N129+O129-P129-M129</f>
        <v/>
      </c>
    </row>
    <row r="130">
      <c r="A130" s="19" t="inlineStr">
        <is>
          <t>5.15-5.21</t>
        </is>
      </c>
      <c r="B130" s="19" t="inlineStr">
        <is>
          <t>PO-128-06985010299513903</t>
        </is>
      </c>
      <c r="C130" s="19" t="inlineStr">
        <is>
          <t>Shipped</t>
        </is>
      </c>
      <c r="D130" s="19" t="inlineStr">
        <is>
          <t>128-06984968356473903</t>
        </is>
      </c>
      <c r="E130" s="19" t="inlineStr">
        <is>
          <t>Shipped</t>
        </is>
      </c>
      <c r="F130" s="19" t="inlineStr">
        <is>
          <t>IE01MB</t>
        </is>
      </c>
      <c r="G130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30" s="19" t="inlineStr">
        <is>
          <t>1 pieza</t>
        </is>
      </c>
      <c r="I130" s="19" t="n">
        <v>1</v>
      </c>
      <c r="J130" s="20" t="n">
        <v>17.4</v>
      </c>
      <c r="K130" s="20" t="n">
        <v>23.28</v>
      </c>
      <c r="L130" s="20" t="n">
        <v>0</v>
      </c>
      <c r="M130" s="20" t="n">
        <v>0</v>
      </c>
      <c r="N130" s="20">
        <f>K130*0.08+L130*0.08</f>
        <v/>
      </c>
      <c r="O130" s="20">
        <f>-(K130*0.025+L130*0.025)</f>
        <v/>
      </c>
      <c r="P130" s="20">
        <f>32</f>
        <v/>
      </c>
      <c r="Q130" s="20">
        <f>J130+L130+N130+O130-P130-M130</f>
        <v/>
      </c>
    </row>
    <row r="131">
      <c r="A131" s="19" t="inlineStr">
        <is>
          <t>5.15-5.21</t>
        </is>
      </c>
      <c r="B131" s="19" t="inlineStr">
        <is>
          <t>PO-128-06985010299513903</t>
        </is>
      </c>
      <c r="C131" s="19" t="inlineStr">
        <is>
          <t>Shipped</t>
        </is>
      </c>
      <c r="D131" s="19" t="inlineStr">
        <is>
          <t>128-06984926413433903</t>
        </is>
      </c>
      <c r="E131" s="19" t="inlineStr">
        <is>
          <t>Shipped</t>
        </is>
      </c>
      <c r="F131" s="19" t="inlineStr">
        <is>
          <t>BS-01</t>
        </is>
      </c>
      <c r="G13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1" s="19" t="inlineStr">
        <is>
          <t>BS-01</t>
        </is>
      </c>
      <c r="I131" s="19" t="n">
        <v>1</v>
      </c>
      <c r="J131" s="20" t="n">
        <v>215</v>
      </c>
      <c r="K131" s="20" t="n">
        <v>253.6</v>
      </c>
      <c r="L131" s="20" t="n">
        <v>0</v>
      </c>
      <c r="M131" s="20" t="n">
        <v>0</v>
      </c>
      <c r="N131" s="20">
        <f>K131*0.08+L131*0.08</f>
        <v/>
      </c>
      <c r="O131" s="20">
        <f>-(K131*0.025+L131*0.025)</f>
        <v/>
      </c>
      <c r="P131" s="20">
        <f>32</f>
        <v/>
      </c>
      <c r="Q131" s="20">
        <f>J131+L131+N131+O131-P131-M131</f>
        <v/>
      </c>
    </row>
    <row r="132">
      <c r="A132" s="19" t="inlineStr">
        <is>
          <t>5.15-5.21</t>
        </is>
      </c>
      <c r="B132" s="19" t="inlineStr">
        <is>
          <t>PO-128-07198708818552565</t>
        </is>
      </c>
      <c r="C132" s="19" t="inlineStr">
        <is>
          <t>Shipped</t>
        </is>
      </c>
      <c r="D132" s="19" t="inlineStr">
        <is>
          <t>128-07198729790072565</t>
        </is>
      </c>
      <c r="E132" s="19" t="inlineStr">
        <is>
          <t>Shipped</t>
        </is>
      </c>
      <c r="F132" s="19" t="inlineStr">
        <is>
          <t>BS-01</t>
        </is>
      </c>
      <c r="G13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2" s="19" t="inlineStr">
        <is>
          <t>BS-01</t>
        </is>
      </c>
      <c r="I132" s="19" t="n">
        <v>1</v>
      </c>
      <c r="J132" s="20" t="n">
        <v>215</v>
      </c>
      <c r="K132" s="20" t="n">
        <v>81.19</v>
      </c>
      <c r="L132" s="20" t="n">
        <v>25.86</v>
      </c>
      <c r="M132" s="20" t="n">
        <v>0</v>
      </c>
      <c r="N132" s="20">
        <f>K132*0.08+L132*0.08</f>
        <v/>
      </c>
      <c r="O132" s="20">
        <f>-(K132*0.025+L132*0.025)</f>
        <v/>
      </c>
      <c r="P132" s="20">
        <f>32</f>
        <v/>
      </c>
      <c r="Q132" s="20">
        <f>J132+L132+N132+O132-P132-M132</f>
        <v/>
      </c>
    </row>
    <row r="133">
      <c r="A133" s="19" t="inlineStr">
        <is>
          <t>5.15-5.21</t>
        </is>
      </c>
      <c r="B133" s="19" t="inlineStr">
        <is>
          <t>PO-128-07539591578230533</t>
        </is>
      </c>
      <c r="C133" s="19" t="inlineStr">
        <is>
          <t>Shipped</t>
        </is>
      </c>
      <c r="D133" s="19" t="inlineStr">
        <is>
          <t>128-07539570606710533</t>
        </is>
      </c>
      <c r="E133" s="19" t="inlineStr">
        <is>
          <t>Shipped</t>
        </is>
      </c>
      <c r="F133" s="19" t="inlineStr">
        <is>
          <t>IE03CN</t>
        </is>
      </c>
      <c r="G133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33" s="19" t="inlineStr">
        <is>
          <t>NEGRO</t>
        </is>
      </c>
      <c r="I133" s="19" t="n">
        <v>1</v>
      </c>
      <c r="J133" s="20" t="n">
        <v>30</v>
      </c>
      <c r="K133" s="20" t="n">
        <v>39.59</v>
      </c>
      <c r="L133" s="20" t="n">
        <v>25.86</v>
      </c>
      <c r="M133" s="20" t="n">
        <v>0</v>
      </c>
      <c r="N133" s="20">
        <f>K133*0.08+L133*0.08</f>
        <v/>
      </c>
      <c r="O133" s="20">
        <f>-(K133*0.025+L133*0.025)</f>
        <v/>
      </c>
      <c r="P133" s="20">
        <f>32</f>
        <v/>
      </c>
      <c r="Q133" s="20">
        <f>J133+L133+N133+O133-P133-M133</f>
        <v/>
      </c>
    </row>
    <row r="134">
      <c r="A134" s="19" t="inlineStr">
        <is>
          <t>5.15-5.21</t>
        </is>
      </c>
      <c r="B134" s="19" t="inlineStr">
        <is>
          <t>PO-128-12663779390072884</t>
        </is>
      </c>
      <c r="C134" s="19" t="inlineStr">
        <is>
          <t>Shipped</t>
        </is>
      </c>
      <c r="D134" s="19" t="inlineStr">
        <is>
          <t>128-12663945196152884</t>
        </is>
      </c>
      <c r="E134" s="19" t="inlineStr">
        <is>
          <t>Shipped</t>
        </is>
      </c>
      <c r="F134" s="19" t="inlineStr">
        <is>
          <t>BS-09</t>
        </is>
      </c>
      <c r="G134" s="19" t="inlineStr">
        <is>
          <t>Altavoz de barra para PC con iluminación RGB, sonido de alta fidelidad y múltiples conexiones: Bluetooth, radio FM, USB, TF, AUX y TWS. Ideal para juegos, reuniones y cine en casa.</t>
        </is>
      </c>
      <c r="H134" s="19" t="inlineStr">
        <is>
          <t>NEGRO</t>
        </is>
      </c>
      <c r="I134" s="19" t="n">
        <v>2</v>
      </c>
      <c r="J134" s="20" t="n">
        <v>228</v>
      </c>
      <c r="K134" s="20" t="n">
        <v>213.58</v>
      </c>
      <c r="L134" s="20" t="n">
        <v>0</v>
      </c>
      <c r="M134" s="20" t="n">
        <v>0</v>
      </c>
      <c r="N134" s="20">
        <f>K134*0.08+L134*0.08</f>
        <v/>
      </c>
      <c r="O134" s="20">
        <f>-(K134*0.025+L134*0.025)</f>
        <v/>
      </c>
      <c r="P134" s="20">
        <f>32</f>
        <v/>
      </c>
      <c r="Q134" s="20">
        <f>J134+L134+N134+O134-P134-M134</f>
        <v/>
      </c>
    </row>
    <row r="135">
      <c r="A135" s="19" t="inlineStr">
        <is>
          <t>5.15-5.21</t>
        </is>
      </c>
      <c r="B135" s="19" t="inlineStr">
        <is>
          <t>PO-128-12668775895672921</t>
        </is>
      </c>
      <c r="C135" s="19" t="inlineStr">
        <is>
          <t>Shipped</t>
        </is>
      </c>
      <c r="D135" s="19" t="inlineStr">
        <is>
          <t>128-12668802110072921</t>
        </is>
      </c>
      <c r="E135" s="19" t="inlineStr">
        <is>
          <t>Shipped</t>
        </is>
      </c>
      <c r="F135" s="19" t="inlineStr">
        <is>
          <t>IE03CB</t>
        </is>
      </c>
      <c r="G135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35" s="19" t="inlineStr">
        <is>
          <t>BLANCO</t>
        </is>
      </c>
      <c r="I135" s="19" t="n">
        <v>1</v>
      </c>
      <c r="J135" s="20" t="n">
        <v>30</v>
      </c>
      <c r="K135" s="20" t="n">
        <v>39.58</v>
      </c>
      <c r="L135" s="20" t="n">
        <v>25.86</v>
      </c>
      <c r="M135" s="20" t="n">
        <v>0</v>
      </c>
      <c r="N135" s="20">
        <f>K135*0.08+L135*0.08</f>
        <v/>
      </c>
      <c r="O135" s="20">
        <f>-(K135*0.025+L135*0.025)</f>
        <v/>
      </c>
      <c r="P135" s="20">
        <f>32</f>
        <v/>
      </c>
      <c r="Q135" s="20">
        <f>J135+L135+N135+O135-P135-M135</f>
        <v/>
      </c>
    </row>
    <row r="136">
      <c r="A136" s="19" t="inlineStr">
        <is>
          <t>5.15-5.21</t>
        </is>
      </c>
      <c r="B136" s="19" t="inlineStr">
        <is>
          <t>PO-128-12515993088633831</t>
        </is>
      </c>
      <c r="C136" s="19" t="inlineStr">
        <is>
          <t>Shipped</t>
        </is>
      </c>
      <c r="D136" s="19" t="inlineStr">
        <is>
          <t>128-12516097946233831</t>
        </is>
      </c>
      <c r="E136" s="19" t="inlineStr">
        <is>
          <t>Shipped</t>
        </is>
      </c>
      <c r="F136" s="19" t="inlineStr">
        <is>
          <t>BS-01</t>
        </is>
      </c>
      <c r="G13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6" s="19" t="inlineStr">
        <is>
          <t>BS-01</t>
        </is>
      </c>
      <c r="I136" s="19" t="n">
        <v>1</v>
      </c>
      <c r="J136" s="20" t="n">
        <v>215</v>
      </c>
      <c r="K136" s="20" t="n">
        <v>253.6</v>
      </c>
      <c r="L136" s="20" t="n">
        <v>25.86</v>
      </c>
      <c r="M136" s="20" t="n">
        <v>0</v>
      </c>
      <c r="N136" s="20">
        <f>K136*0.08+L136*0.08</f>
        <v/>
      </c>
      <c r="O136" s="20">
        <f>-(K136*0.025+L136*0.025)</f>
        <v/>
      </c>
      <c r="P136" s="20">
        <f>32</f>
        <v/>
      </c>
      <c r="Q136" s="20">
        <f>J136+L136+N136+O136-P136-M136</f>
        <v/>
      </c>
    </row>
    <row r="137">
      <c r="A137" s="19" t="inlineStr">
        <is>
          <t>5.15-5.21</t>
        </is>
      </c>
      <c r="B137" s="19" t="inlineStr">
        <is>
          <t>PO-128-12497154033273942</t>
        </is>
      </c>
      <c r="C137" s="19" t="inlineStr">
        <is>
          <t>Shipped</t>
        </is>
      </c>
      <c r="D137" s="19" t="inlineStr">
        <is>
          <t>128-12497112090233942</t>
        </is>
      </c>
      <c r="E137" s="19" t="inlineStr">
        <is>
          <t>Shipped</t>
        </is>
      </c>
      <c r="F137" s="19" t="inlineStr">
        <is>
          <t>S-10302</t>
        </is>
      </c>
      <c r="G137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137" s="19" t="inlineStr">
        <is>
          <t>s-10302</t>
        </is>
      </c>
      <c r="I137" s="19" t="n">
        <v>1</v>
      </c>
      <c r="J137" s="20" t="n">
        <v>60.34</v>
      </c>
      <c r="K137" s="20" t="n">
        <v>29.12</v>
      </c>
      <c r="L137" s="20" t="n">
        <v>25.86</v>
      </c>
      <c r="M137" s="20" t="n">
        <v>0</v>
      </c>
      <c r="N137" s="20">
        <f>K137*0.08+L137*0.08</f>
        <v/>
      </c>
      <c r="O137" s="20">
        <f>-(K137*0.025+L137*0.025)</f>
        <v/>
      </c>
      <c r="P137" s="20">
        <f>32</f>
        <v/>
      </c>
      <c r="Q137" s="20">
        <f>J137+L137+N137+O137-P137-M137</f>
        <v/>
      </c>
    </row>
    <row r="138">
      <c r="A138" s="19" t="inlineStr">
        <is>
          <t>5.15-5.21</t>
        </is>
      </c>
      <c r="B138" s="19" t="inlineStr">
        <is>
          <t>PO-128-14950663434870390</t>
        </is>
      </c>
      <c r="C138" s="19" t="inlineStr">
        <is>
          <t>Partially shipped</t>
        </is>
      </c>
      <c r="D138" s="19" t="inlineStr">
        <is>
          <t>128-14950579548790390</t>
        </is>
      </c>
      <c r="E138" s="19" t="inlineStr">
        <is>
          <t>Unshipped</t>
        </is>
      </c>
      <c r="F138" s="19" t="inlineStr">
        <is>
          <t>BS-01</t>
        </is>
      </c>
      <c r="G13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8" s="19" t="inlineStr">
        <is>
          <t>BS-01</t>
        </is>
      </c>
      <c r="I138" s="19" t="n">
        <v>1</v>
      </c>
      <c r="J138" s="20" t="n">
        <v>219</v>
      </c>
      <c r="K138" s="20" t="n">
        <v>24.25</v>
      </c>
      <c r="L138" s="20" t="n">
        <v>0</v>
      </c>
      <c r="M138" s="20" t="n">
        <v>0</v>
      </c>
      <c r="N138" s="20">
        <f>K138*0.08+L138*0.08</f>
        <v/>
      </c>
      <c r="O138" s="20">
        <f>-(K138*0.025+L138*0.025)</f>
        <v/>
      </c>
      <c r="P138" s="20">
        <f>32</f>
        <v/>
      </c>
      <c r="Q138" s="20">
        <f>J138+L138+N138+O138-P138-M138</f>
        <v/>
      </c>
    </row>
    <row r="139">
      <c r="A139" s="19" t="inlineStr">
        <is>
          <t>5.15-5.21</t>
        </is>
      </c>
      <c r="B139" s="19" t="inlineStr">
        <is>
          <t>PO-128-14950663434870390</t>
        </is>
      </c>
      <c r="C139" s="19" t="inlineStr">
        <is>
          <t>Partially shipped</t>
        </is>
      </c>
      <c r="D139" s="19" t="inlineStr">
        <is>
          <t>128-14950621491830390</t>
        </is>
      </c>
      <c r="E139" s="19" t="inlineStr">
        <is>
          <t>Shipped</t>
        </is>
      </c>
      <c r="F139" s="19" t="inlineStr">
        <is>
          <t>IE01MB</t>
        </is>
      </c>
      <c r="G139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39" s="19" t="inlineStr">
        <is>
          <t>1 pieza</t>
        </is>
      </c>
      <c r="I139" s="19" t="n">
        <v>1</v>
      </c>
      <c r="J139" s="20" t="n">
        <v>22</v>
      </c>
      <c r="K139" s="20" t="n">
        <v>2.62</v>
      </c>
      <c r="L139" s="20" t="n">
        <v>0</v>
      </c>
      <c r="M139" s="20" t="n">
        <v>0.27</v>
      </c>
      <c r="N139" s="20">
        <f>K139*0.08+L139*0.08</f>
        <v/>
      </c>
      <c r="O139" s="20">
        <f>-(K139*0.025+L139*0.025)</f>
        <v/>
      </c>
      <c r="P139" s="20">
        <f>32</f>
        <v/>
      </c>
      <c r="Q139" s="20">
        <f>J139+L139+N139+O139-P139-M139</f>
        <v/>
      </c>
    </row>
    <row r="140">
      <c r="A140" s="19" t="inlineStr">
        <is>
          <t>5.15-5.21</t>
        </is>
      </c>
      <c r="B140" s="19" t="inlineStr">
        <is>
          <t>PO-128-03869796273271927</t>
        </is>
      </c>
      <c r="C140" s="19" t="inlineStr">
        <is>
          <t>Partially shipped</t>
        </is>
      </c>
      <c r="D140" s="19" t="inlineStr">
        <is>
          <t>128-03869754330231927</t>
        </is>
      </c>
      <c r="E140" s="19" t="inlineStr">
        <is>
          <t>Shipped</t>
        </is>
      </c>
      <c r="F140" s="19" t="inlineStr">
        <is>
          <t>IE01MB</t>
        </is>
      </c>
      <c r="G140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40" s="19" t="inlineStr">
        <is>
          <t>1 pieza</t>
        </is>
      </c>
      <c r="I140" s="19" t="n">
        <v>1</v>
      </c>
      <c r="J140" s="20" t="n">
        <v>22</v>
      </c>
      <c r="K140" s="20" t="n">
        <v>27.89</v>
      </c>
      <c r="L140" s="20" t="n">
        <v>0</v>
      </c>
      <c r="M140" s="20" t="n">
        <v>0</v>
      </c>
      <c r="N140" s="20">
        <f>K140*0.08+L140*0.08</f>
        <v/>
      </c>
      <c r="O140" s="20">
        <f>-(K140*0.025+L140*0.025)</f>
        <v/>
      </c>
      <c r="P140" s="20">
        <f>32</f>
        <v/>
      </c>
      <c r="Q140" s="20">
        <f>J140+L140+N140+O140-P140-M140</f>
        <v/>
      </c>
    </row>
    <row r="141">
      <c r="A141" s="19" t="inlineStr">
        <is>
          <t>5.15-5.21</t>
        </is>
      </c>
      <c r="B141" s="19" t="inlineStr">
        <is>
          <t>PO-128-03869796273271927</t>
        </is>
      </c>
      <c r="C141" s="19" t="inlineStr">
        <is>
          <t>Partially shipped</t>
        </is>
      </c>
      <c r="D141" s="19" t="inlineStr">
        <is>
          <t>128-03869712387191927</t>
        </is>
      </c>
      <c r="E141" s="19" t="inlineStr">
        <is>
          <t>Unshipped</t>
        </is>
      </c>
      <c r="F141" s="19" t="inlineStr">
        <is>
          <t>BS-01</t>
        </is>
      </c>
      <c r="G14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1" s="19" t="inlineStr">
        <is>
          <t>BS-01</t>
        </is>
      </c>
      <c r="I141" s="19" t="n">
        <v>1</v>
      </c>
      <c r="J141" s="20" t="n">
        <v>219</v>
      </c>
      <c r="K141" s="20" t="n">
        <v>257.6</v>
      </c>
      <c r="L141" s="20" t="n">
        <v>0</v>
      </c>
      <c r="M141" s="20" t="n">
        <v>0</v>
      </c>
      <c r="N141" s="20">
        <f>K141*0.08+L141*0.08</f>
        <v/>
      </c>
      <c r="O141" s="20">
        <f>-(K141*0.025+L141*0.025)</f>
        <v/>
      </c>
      <c r="P141" s="20">
        <f>32</f>
        <v/>
      </c>
      <c r="Q141" s="20">
        <f>J141+L141+N141+O141-P141-M141</f>
        <v/>
      </c>
    </row>
    <row r="142">
      <c r="A142" s="19" t="inlineStr">
        <is>
          <t>5.15-5.21</t>
        </is>
      </c>
      <c r="B142" s="19" t="inlineStr">
        <is>
          <t>PO-128-14781113150071464</t>
        </is>
      </c>
      <c r="C142" s="19" t="inlineStr">
        <is>
          <t>Delivered</t>
        </is>
      </c>
      <c r="D142" s="19" t="inlineStr">
        <is>
          <t>128-14781155093111464</t>
        </is>
      </c>
      <c r="E142" s="19" t="inlineStr">
        <is>
          <t>Delivered</t>
        </is>
      </c>
      <c r="F142" s="19" t="inlineStr">
        <is>
          <t>BS-09</t>
        </is>
      </c>
      <c r="G142" s="19" t="inlineStr">
        <is>
          <t>Altavoz de barra para PC con iluminación RGB, sonido de alta fidelidad y múltiples conexiones: Bluetooth, radio FM, USB, TF, AUX y TWS. Ideal para juegos, reuniones y cine en casa.</t>
        </is>
      </c>
      <c r="H142" s="19" t="inlineStr">
        <is>
          <t>NEGRO</t>
        </is>
      </c>
      <c r="I142" s="19" t="n">
        <v>1</v>
      </c>
      <c r="J142" s="20" t="n">
        <v>117.99</v>
      </c>
      <c r="K142" s="20" t="n">
        <v>146.36</v>
      </c>
      <c r="L142" s="20" t="n">
        <v>25.86</v>
      </c>
      <c r="M142" s="20" t="n">
        <v>0</v>
      </c>
      <c r="N142" s="20">
        <f>K142*0.08+L142*0.08</f>
        <v/>
      </c>
      <c r="O142" s="20">
        <f>-(K142*0.025+L142*0.025)</f>
        <v/>
      </c>
      <c r="P142" s="20">
        <f>32</f>
        <v/>
      </c>
      <c r="Q142" s="20">
        <f>J142+L142+N142+O142-P142-M142</f>
        <v/>
      </c>
    </row>
    <row r="143">
      <c r="A143" s="19" t="inlineStr">
        <is>
          <t>5.15-5.21</t>
        </is>
      </c>
      <c r="B143" s="19" t="inlineStr">
        <is>
          <t>PO-128-14901127235191903</t>
        </is>
      </c>
      <c r="C143" s="19" t="inlineStr">
        <is>
          <t>Delivered</t>
        </is>
      </c>
      <c r="D143" s="19" t="inlineStr">
        <is>
          <t>128-14901148206711903</t>
        </is>
      </c>
      <c r="E143" s="19" t="inlineStr">
        <is>
          <t>Delivered</t>
        </is>
      </c>
      <c r="F143" s="19" t="inlineStr">
        <is>
          <t>BS-07AM</t>
        </is>
      </c>
      <c r="G143" s="19" t="inlineStr">
        <is>
          <t>Altavoz Inalámbrico Portátil con Diseño Retro, Bajos Optimizados y Sonido 3D Envolvente,Compatible con TF/FM/AUX, Conexión BT TWS. Ideal para Home Theater, Fiestas y Regalos​</t>
        </is>
      </c>
      <c r="H143" s="19" t="inlineStr">
        <is>
          <t>BS-07AM</t>
        </is>
      </c>
      <c r="I143" s="19" t="n">
        <v>1</v>
      </c>
      <c r="J143" s="20" t="n">
        <v>135</v>
      </c>
      <c r="K143" s="20" t="n">
        <v>153.68</v>
      </c>
      <c r="L143" s="20" t="n">
        <v>25.86</v>
      </c>
      <c r="M143" s="20" t="n">
        <v>0</v>
      </c>
      <c r="N143" s="20">
        <f>K143*0.08+L143*0.08</f>
        <v/>
      </c>
      <c r="O143" s="20">
        <f>-(K143*0.025+L143*0.025)</f>
        <v/>
      </c>
      <c r="P143" s="20">
        <f>32</f>
        <v/>
      </c>
      <c r="Q143" s="20">
        <f>J143+L143+N143+O143-P143-M143</f>
        <v/>
      </c>
    </row>
    <row r="144">
      <c r="A144" s="19" t="inlineStr">
        <is>
          <t>5.15-5.21</t>
        </is>
      </c>
      <c r="B144" s="19" t="inlineStr">
        <is>
          <t>PO-128-14707822930553055</t>
        </is>
      </c>
      <c r="C144" s="19" t="inlineStr">
        <is>
          <t>Delivered</t>
        </is>
      </c>
      <c r="D144" s="19" t="inlineStr">
        <is>
          <t>128-14707801959033055</t>
        </is>
      </c>
      <c r="E144" s="19" t="inlineStr">
        <is>
          <t>Delivered</t>
        </is>
      </c>
      <c r="F144" s="19" t="inlineStr">
        <is>
          <t>BS-01</t>
        </is>
      </c>
      <c r="G14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4" s="19" t="inlineStr">
        <is>
          <t>BS-01</t>
        </is>
      </c>
      <c r="I144" s="19" t="n">
        <v>1</v>
      </c>
      <c r="J144" s="20" t="n">
        <v>219</v>
      </c>
      <c r="K144" s="20" t="n">
        <v>257.6</v>
      </c>
      <c r="L144" s="20" t="n">
        <v>25.86</v>
      </c>
      <c r="M144" s="20" t="n">
        <v>0</v>
      </c>
      <c r="N144" s="20">
        <f>K144*0.08+L144*0.08</f>
        <v/>
      </c>
      <c r="O144" s="20">
        <f>-(K144*0.025+L144*0.025)</f>
        <v/>
      </c>
      <c r="P144" s="20">
        <f>32</f>
        <v/>
      </c>
      <c r="Q144" s="20">
        <f>J144+L144+N144+O144-P144-M144</f>
        <v/>
      </c>
    </row>
    <row r="145">
      <c r="A145" s="19" t="inlineStr">
        <is>
          <t>5.15-5.21</t>
        </is>
      </c>
      <c r="B145" s="19" t="inlineStr">
        <is>
          <t>PO-128-03597354465913679</t>
        </is>
      </c>
      <c r="C145" s="19" t="inlineStr">
        <is>
          <t>Delivered</t>
        </is>
      </c>
      <c r="D145" s="19" t="inlineStr">
        <is>
          <t>128-03597312522873679</t>
        </is>
      </c>
      <c r="E145" s="19" t="inlineStr">
        <is>
          <t>Delivered</t>
        </is>
      </c>
      <c r="F145" s="19" t="inlineStr">
        <is>
          <t>BS-01</t>
        </is>
      </c>
      <c r="G14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5" s="19" t="inlineStr">
        <is>
          <t>BS-01</t>
        </is>
      </c>
      <c r="I145" s="19" t="n">
        <v>1</v>
      </c>
      <c r="J145" s="20" t="n">
        <v>219</v>
      </c>
      <c r="K145" s="20" t="n">
        <v>257.6</v>
      </c>
      <c r="L145" s="20" t="n">
        <v>25.86</v>
      </c>
      <c r="M145" s="20" t="n">
        <v>0</v>
      </c>
      <c r="N145" s="20">
        <f>K145*0.08+L145*0.08</f>
        <v/>
      </c>
      <c r="O145" s="20">
        <f>-(K145*0.025+L145*0.025)</f>
        <v/>
      </c>
      <c r="P145" s="20">
        <f>32</f>
        <v/>
      </c>
      <c r="Q145" s="20">
        <f>J145+L145+N145+O145-P145-M145</f>
        <v/>
      </c>
    </row>
    <row r="146">
      <c r="A146" s="19" t="inlineStr">
        <is>
          <t>5.15-5.21</t>
        </is>
      </c>
      <c r="B146" s="19" t="inlineStr">
        <is>
          <t>PO-128-18262410952311194</t>
        </is>
      </c>
      <c r="C146" s="19" t="inlineStr">
        <is>
          <t>Delivered</t>
        </is>
      </c>
      <c r="D146" s="19" t="inlineStr">
        <is>
          <t>128-18262452895351194</t>
        </is>
      </c>
      <c r="E146" s="19" t="inlineStr">
        <is>
          <t>Delivered</t>
        </is>
      </c>
      <c r="F146" s="19" t="inlineStr">
        <is>
          <t>BS-01</t>
        </is>
      </c>
      <c r="G14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6" s="19" t="inlineStr">
        <is>
          <t>BS-01</t>
        </is>
      </c>
      <c r="I146" s="19" t="n">
        <v>2</v>
      </c>
      <c r="J146" s="20" t="n">
        <v>438</v>
      </c>
      <c r="K146" s="20" t="n">
        <v>515.2</v>
      </c>
      <c r="L146" s="20" t="n">
        <v>0</v>
      </c>
      <c r="M146" s="20" t="n">
        <v>0</v>
      </c>
      <c r="N146" s="20">
        <f>K146*0.08+L146*0.08</f>
        <v/>
      </c>
      <c r="O146" s="20">
        <f>-(K146*0.025+L146*0.025)</f>
        <v/>
      </c>
      <c r="P146" s="20">
        <f>32</f>
        <v/>
      </c>
      <c r="Q146" s="20">
        <f>J146+L146+N146+O146-P146-M146</f>
        <v/>
      </c>
    </row>
    <row r="147">
      <c r="A147" s="19" t="inlineStr">
        <is>
          <t>5.15-5.21</t>
        </is>
      </c>
      <c r="B147" s="19" t="inlineStr">
        <is>
          <t>PO-128-17878313800313549</t>
        </is>
      </c>
      <c r="C147" s="19" t="inlineStr">
        <is>
          <t>Delivered</t>
        </is>
      </c>
      <c r="D147" s="19" t="inlineStr">
        <is>
          <t>128-17878381957753549</t>
        </is>
      </c>
      <c r="E147" s="19" t="inlineStr">
        <is>
          <t>Delivered</t>
        </is>
      </c>
      <c r="F147" s="19" t="inlineStr">
        <is>
          <t>BS-01</t>
        </is>
      </c>
      <c r="G14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7" s="19" t="inlineStr">
        <is>
          <t>BS-01</t>
        </is>
      </c>
      <c r="I147" s="19" t="n">
        <v>1</v>
      </c>
      <c r="J147" s="20" t="n">
        <v>219</v>
      </c>
      <c r="K147" s="20" t="n">
        <v>257.6</v>
      </c>
      <c r="L147" s="20" t="n">
        <v>25.86</v>
      </c>
      <c r="M147" s="20" t="n">
        <v>0</v>
      </c>
      <c r="N147" s="20">
        <f>K147*0.08+L147*0.08</f>
        <v/>
      </c>
      <c r="O147" s="20">
        <f>-(K147*0.025+L147*0.025)</f>
        <v/>
      </c>
      <c r="P147" s="20">
        <f>32</f>
        <v/>
      </c>
      <c r="Q147" s="20">
        <f>J147+L147+N147+O147-P147-M147</f>
        <v/>
      </c>
    </row>
    <row r="148">
      <c r="A148" s="19" t="inlineStr">
        <is>
          <t>5.15-5.21</t>
        </is>
      </c>
      <c r="B148" s="19" t="inlineStr">
        <is>
          <t>PO-128-18133462508152989</t>
        </is>
      </c>
      <c r="C148" s="19" t="inlineStr">
        <is>
          <t>Delivered</t>
        </is>
      </c>
      <c r="D148" s="19" t="inlineStr">
        <is>
          <t>128-18133420565112989</t>
        </is>
      </c>
      <c r="E148" s="19" t="inlineStr">
        <is>
          <t>Delivered</t>
        </is>
      </c>
      <c r="F148" s="19" t="inlineStr">
        <is>
          <t>BS-01</t>
        </is>
      </c>
      <c r="G14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8" s="19" t="inlineStr">
        <is>
          <t>BS-01</t>
        </is>
      </c>
      <c r="I148" s="19" t="n">
        <v>1</v>
      </c>
      <c r="J148" s="20" t="n">
        <v>219</v>
      </c>
      <c r="K148" s="20" t="n">
        <v>257.6</v>
      </c>
      <c r="L148" s="20" t="n">
        <v>25.86</v>
      </c>
      <c r="M148" s="20" t="n">
        <v>0</v>
      </c>
      <c r="N148" s="20">
        <f>K148*0.08+L148*0.08</f>
        <v/>
      </c>
      <c r="O148" s="20">
        <f>-(K148*0.025+L148*0.025)</f>
        <v/>
      </c>
      <c r="P148" s="20">
        <f>32</f>
        <v/>
      </c>
      <c r="Q148" s="20">
        <f>J148+L148+N148+O148-P148-M148</f>
        <v/>
      </c>
    </row>
    <row r="149">
      <c r="A149" s="19" t="inlineStr">
        <is>
          <t>5.15-5.21</t>
        </is>
      </c>
      <c r="B149" s="19" t="inlineStr">
        <is>
          <t>PO-128-18206474773112681</t>
        </is>
      </c>
      <c r="C149" s="19" t="inlineStr">
        <is>
          <t>Delivered</t>
        </is>
      </c>
      <c r="D149" s="19" t="inlineStr">
        <is>
          <t>128-18206500987512681</t>
        </is>
      </c>
      <c r="E149" s="19" t="inlineStr">
        <is>
          <t>Delivered</t>
        </is>
      </c>
      <c r="F149" s="19" t="inlineStr">
        <is>
          <t>BS-01</t>
        </is>
      </c>
      <c r="G14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9" s="19" t="inlineStr">
        <is>
          <t>BS-01</t>
        </is>
      </c>
      <c r="I149" s="19" t="n">
        <v>1</v>
      </c>
      <c r="J149" s="20" t="n">
        <v>215</v>
      </c>
      <c r="K149" s="20" t="n">
        <v>253.6</v>
      </c>
      <c r="L149" s="20" t="n">
        <v>25.86</v>
      </c>
      <c r="M149" s="20" t="n">
        <v>0</v>
      </c>
      <c r="N149" s="20">
        <f>K149*0.08+L149*0.08</f>
        <v/>
      </c>
      <c r="O149" s="20">
        <f>-(K149*0.025+L149*0.025)</f>
        <v/>
      </c>
      <c r="P149" s="20">
        <f>32</f>
        <v/>
      </c>
      <c r="Q149" s="20">
        <f>J149+L149+N149+O149-P149-M149</f>
        <v/>
      </c>
    </row>
    <row r="150">
      <c r="A150" s="19" t="inlineStr">
        <is>
          <t>5.15-5.21</t>
        </is>
      </c>
      <c r="B150" s="19" t="inlineStr">
        <is>
          <t>PO-128-18283668357751069</t>
        </is>
      </c>
      <c r="C150" s="19" t="inlineStr">
        <is>
          <t>Delivered</t>
        </is>
      </c>
      <c r="D150" s="19" t="inlineStr">
        <is>
          <t>128-18283689329271069</t>
        </is>
      </c>
      <c r="E150" s="19" t="inlineStr">
        <is>
          <t>Delivered</t>
        </is>
      </c>
      <c r="F150" s="19" t="inlineStr">
        <is>
          <t>BS-09</t>
        </is>
      </c>
      <c r="G150" s="19" t="inlineStr">
        <is>
          <t>Altavoz de barra para PC con iluminación RGB, sonido de alta fidelidad y múltiples conexiones: Bluetooth, radio FM, USB, TF, AUX y TWS. Ideal para juegos, reuniones y cine en casa.</t>
        </is>
      </c>
      <c r="H150" s="19" t="inlineStr">
        <is>
          <t>NEGRO</t>
        </is>
      </c>
      <c r="I150" s="19" t="n">
        <v>1</v>
      </c>
      <c r="J150" s="20" t="n">
        <v>114</v>
      </c>
      <c r="K150" s="20" t="n">
        <v>99.67</v>
      </c>
      <c r="L150" s="20" t="n">
        <v>25.86</v>
      </c>
      <c r="M150" s="20" t="n">
        <v>0</v>
      </c>
      <c r="N150" s="20">
        <f>K150*0.08+L150*0.08</f>
        <v/>
      </c>
      <c r="O150" s="20">
        <f>-(K150*0.025+L150*0.025)</f>
        <v/>
      </c>
      <c r="P150" s="20">
        <f>32</f>
        <v/>
      </c>
      <c r="Q150" s="20">
        <f>J150+L150+N150+O150-P150-M150</f>
        <v/>
      </c>
    </row>
    <row r="151">
      <c r="A151" s="19" t="inlineStr">
        <is>
          <t>5.15-5.21</t>
        </is>
      </c>
      <c r="B151" s="19" t="inlineStr">
        <is>
          <t>PO-128-17989199201913913</t>
        </is>
      </c>
      <c r="C151" s="19" t="inlineStr">
        <is>
          <t>Delivered</t>
        </is>
      </c>
      <c r="D151" s="19" t="inlineStr">
        <is>
          <t>128-17989157258873913</t>
        </is>
      </c>
      <c r="E151" s="19" t="inlineStr">
        <is>
          <t>Delivered</t>
        </is>
      </c>
      <c r="F151" s="19" t="inlineStr">
        <is>
          <t>BS-01</t>
        </is>
      </c>
      <c r="G15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1" s="19" t="inlineStr">
        <is>
          <t>BS-01</t>
        </is>
      </c>
      <c r="I151" s="19" t="n">
        <v>1</v>
      </c>
      <c r="J151" s="20" t="n">
        <v>215</v>
      </c>
      <c r="K151" s="20" t="n">
        <v>253.6</v>
      </c>
      <c r="L151" s="20" t="n">
        <v>25.86</v>
      </c>
      <c r="M151" s="20" t="n">
        <v>0</v>
      </c>
      <c r="N151" s="20">
        <f>K151*0.08+L151*0.08</f>
        <v/>
      </c>
      <c r="O151" s="20">
        <f>-(K151*0.025+L151*0.025)</f>
        <v/>
      </c>
      <c r="P151" s="20">
        <f>32</f>
        <v/>
      </c>
      <c r="Q151" s="20">
        <f>J151+L151+N151+O151-P151-M151</f>
        <v/>
      </c>
    </row>
    <row r="152">
      <c r="A152" s="19" t="inlineStr">
        <is>
          <t>5.15-5.21</t>
        </is>
      </c>
      <c r="B152" s="19" t="inlineStr">
        <is>
          <t>PO-128-18263587400311189</t>
        </is>
      </c>
      <c r="C152" s="19" t="inlineStr">
        <is>
          <t>Delivered</t>
        </is>
      </c>
      <c r="D152" s="19" t="inlineStr">
        <is>
          <t>128-18263545457271189</t>
        </is>
      </c>
      <c r="E152" s="19" t="inlineStr">
        <is>
          <t>Delivered</t>
        </is>
      </c>
      <c r="F152" s="19" t="inlineStr">
        <is>
          <t>BS-01</t>
        </is>
      </c>
      <c r="G15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2" s="19" t="inlineStr">
        <is>
          <t>BS-01</t>
        </is>
      </c>
      <c r="I152" s="19" t="n">
        <v>1</v>
      </c>
      <c r="J152" s="20" t="n">
        <v>215</v>
      </c>
      <c r="K152" s="20" t="n">
        <v>253.6</v>
      </c>
      <c r="L152" s="20" t="n">
        <v>25.86</v>
      </c>
      <c r="M152" s="20" t="n">
        <v>0</v>
      </c>
      <c r="N152" s="20">
        <f>K152*0.08+L152*0.08</f>
        <v/>
      </c>
      <c r="O152" s="20">
        <f>-(K152*0.025+L152*0.025)</f>
        <v/>
      </c>
      <c r="P152" s="20">
        <f>32</f>
        <v/>
      </c>
      <c r="Q152" s="20">
        <f>J152+L152+N152+O152-P152-M152</f>
        <v/>
      </c>
    </row>
    <row r="153">
      <c r="A153" s="19" t="inlineStr">
        <is>
          <t>5.15-5.21</t>
        </is>
      </c>
      <c r="B153" s="19" t="inlineStr">
        <is>
          <t>PO-128-07502925348470814</t>
        </is>
      </c>
      <c r="C153" s="19" t="inlineStr">
        <is>
          <t>Delivered</t>
        </is>
      </c>
      <c r="D153" s="19" t="inlineStr">
        <is>
          <t>128-07502883405430814</t>
        </is>
      </c>
      <c r="E153" s="19" t="inlineStr">
        <is>
          <t>Delivered</t>
        </is>
      </c>
      <c r="F153" s="19" t="inlineStr">
        <is>
          <t>BS-01</t>
        </is>
      </c>
      <c r="G15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3" s="19" t="inlineStr">
        <is>
          <t>BS-01</t>
        </is>
      </c>
      <c r="I153" s="19" t="n">
        <v>1</v>
      </c>
      <c r="J153" s="20" t="n">
        <v>215</v>
      </c>
      <c r="K153" s="20" t="n">
        <v>253.6</v>
      </c>
      <c r="L153" s="20" t="n">
        <v>25.86</v>
      </c>
      <c r="M153" s="20" t="n">
        <v>0</v>
      </c>
      <c r="N153" s="20">
        <f>K153*0.08+L153*0.08</f>
        <v/>
      </c>
      <c r="O153" s="20">
        <f>-(K153*0.025+L153*0.025)</f>
        <v/>
      </c>
      <c r="P153" s="20">
        <f>32</f>
        <v/>
      </c>
      <c r="Q153" s="20">
        <f>J153+L153+N153+O153-P153-M153</f>
        <v/>
      </c>
    </row>
    <row r="154">
      <c r="A154" s="19" t="inlineStr">
        <is>
          <t>5.15-5.21</t>
        </is>
      </c>
      <c r="B154" s="19" t="inlineStr">
        <is>
          <t>PO-128-07215442760312657</t>
        </is>
      </c>
      <c r="C154" s="19" t="inlineStr">
        <is>
          <t>Delivered</t>
        </is>
      </c>
      <c r="D154" s="19" t="inlineStr">
        <is>
          <t>128-07215484703352657</t>
        </is>
      </c>
      <c r="E154" s="19" t="inlineStr">
        <is>
          <t>Delivered</t>
        </is>
      </c>
      <c r="F154" s="19" t="inlineStr">
        <is>
          <t>BS-01</t>
        </is>
      </c>
      <c r="G15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4" s="19" t="inlineStr">
        <is>
          <t>BS-01</t>
        </is>
      </c>
      <c r="I154" s="19" t="n">
        <v>1</v>
      </c>
      <c r="J154" s="20" t="n">
        <v>215</v>
      </c>
      <c r="K154" s="20" t="n">
        <v>201.88</v>
      </c>
      <c r="L154" s="20" t="n">
        <v>25.86</v>
      </c>
      <c r="M154" s="20" t="n">
        <v>0</v>
      </c>
      <c r="N154" s="20">
        <f>K154*0.08+L154*0.08</f>
        <v/>
      </c>
      <c r="O154" s="20">
        <f>-(K154*0.025+L154*0.025)</f>
        <v/>
      </c>
      <c r="P154" s="20">
        <f>32</f>
        <v/>
      </c>
      <c r="Q154" s="20">
        <f>J154+L154+N154+O154-P154-M154</f>
        <v/>
      </c>
    </row>
    <row r="155">
      <c r="A155" s="19" t="inlineStr">
        <is>
          <t>5.15-5.21</t>
        </is>
      </c>
      <c r="B155" s="19" t="inlineStr">
        <is>
          <t>PO-128-07047069891192445</t>
        </is>
      </c>
      <c r="C155" s="19" t="inlineStr">
        <is>
          <t>Delivered</t>
        </is>
      </c>
      <c r="D155" s="19" t="inlineStr">
        <is>
          <t>128-07047096105592445</t>
        </is>
      </c>
      <c r="E155" s="19" t="inlineStr">
        <is>
          <t>Delivered</t>
        </is>
      </c>
      <c r="F155" s="19" t="inlineStr">
        <is>
          <t>BS-01</t>
        </is>
      </c>
      <c r="G15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5" s="19" t="inlineStr">
        <is>
          <t>BS-01</t>
        </is>
      </c>
      <c r="I155" s="19" t="n">
        <v>1</v>
      </c>
      <c r="J155" s="20" t="n">
        <v>215</v>
      </c>
      <c r="K155" s="20" t="n">
        <v>190.2</v>
      </c>
      <c r="L155" s="20" t="n">
        <v>25.86</v>
      </c>
      <c r="M155" s="20" t="n">
        <v>0</v>
      </c>
      <c r="N155" s="20">
        <f>K155*0.08+L155*0.08</f>
        <v/>
      </c>
      <c r="O155" s="20">
        <f>-(K155*0.025+L155*0.025)</f>
        <v/>
      </c>
      <c r="P155" s="20">
        <f>32</f>
        <v/>
      </c>
      <c r="Q155" s="20">
        <f>J155+L155+N155+O155-P155-M155</f>
        <v/>
      </c>
    </row>
    <row r="156">
      <c r="A156" s="19" t="inlineStr">
        <is>
          <t>5.15-5.21</t>
        </is>
      </c>
      <c r="B156" s="19" t="inlineStr">
        <is>
          <t>PO-128-06952176466553136</t>
        </is>
      </c>
      <c r="C156" s="19" t="inlineStr">
        <is>
          <t>Delivered</t>
        </is>
      </c>
      <c r="D156" s="19" t="inlineStr">
        <is>
          <t>128-06952197438073136</t>
        </is>
      </c>
      <c r="E156" s="19" t="inlineStr">
        <is>
          <t>Delivered</t>
        </is>
      </c>
      <c r="F156" s="19" t="inlineStr">
        <is>
          <t>BS-01</t>
        </is>
      </c>
      <c r="G15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6" s="19" t="inlineStr">
        <is>
          <t>BS-01</t>
        </is>
      </c>
      <c r="I156" s="19" t="n">
        <v>1</v>
      </c>
      <c r="J156" s="20" t="n">
        <v>215</v>
      </c>
      <c r="K156" s="20" t="n">
        <v>253.6</v>
      </c>
      <c r="L156" s="20" t="n">
        <v>25.86</v>
      </c>
      <c r="M156" s="20" t="n">
        <v>0</v>
      </c>
      <c r="N156" s="20">
        <f>K156*0.08+L156*0.08</f>
        <v/>
      </c>
      <c r="O156" s="20">
        <f>-(K156*0.025+L156*0.025)</f>
        <v/>
      </c>
      <c r="P156" s="20">
        <f>32</f>
        <v/>
      </c>
      <c r="Q156" s="20">
        <f>J156+L156+N156+O156-P156-M156</f>
        <v/>
      </c>
    </row>
    <row r="157">
      <c r="A157" s="19" t="inlineStr">
        <is>
          <t>5.15-5.21</t>
        </is>
      </c>
      <c r="B157" s="19" t="inlineStr">
        <is>
          <t>PO-128-07305090099831931</t>
        </is>
      </c>
      <c r="C157" s="19" t="inlineStr">
        <is>
          <t>Delivered</t>
        </is>
      </c>
      <c r="D157" s="19" t="inlineStr">
        <is>
          <t>128-07305111071351931</t>
        </is>
      </c>
      <c r="E157" s="19" t="inlineStr">
        <is>
          <t>Delivered</t>
        </is>
      </c>
      <c r="F157" s="19" t="inlineStr">
        <is>
          <t>BS-01</t>
        </is>
      </c>
      <c r="G15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7" s="19" t="inlineStr">
        <is>
          <t>BS-01</t>
        </is>
      </c>
      <c r="I157" s="19" t="n">
        <v>1</v>
      </c>
      <c r="J157" s="20" t="n">
        <v>215</v>
      </c>
      <c r="K157" s="20" t="n">
        <v>210.5</v>
      </c>
      <c r="L157" s="20" t="n">
        <v>25.86</v>
      </c>
      <c r="M157" s="20" t="n">
        <v>0</v>
      </c>
      <c r="N157" s="20">
        <f>K157*0.08+L157*0.08</f>
        <v/>
      </c>
      <c r="O157" s="20">
        <f>-(K157*0.025+L157*0.025)</f>
        <v/>
      </c>
      <c r="P157" s="20">
        <f>32</f>
        <v/>
      </c>
      <c r="Q157" s="20">
        <f>J157+L157+N157+O157-P157-M157</f>
        <v/>
      </c>
    </row>
    <row r="158">
      <c r="A158" s="19" t="inlineStr">
        <is>
          <t>5.15-5.21</t>
        </is>
      </c>
      <c r="B158" s="19" t="inlineStr">
        <is>
          <t>PO-128-07419423560310289</t>
        </is>
      </c>
      <c r="C158" s="19" t="inlineStr">
        <is>
          <t>Delivered</t>
        </is>
      </c>
      <c r="D158" s="19" t="inlineStr">
        <is>
          <t>128-07419528417910289</t>
        </is>
      </c>
      <c r="E158" s="19" t="inlineStr">
        <is>
          <t>Delivered</t>
        </is>
      </c>
      <c r="F158" s="19" t="inlineStr">
        <is>
          <t>BS-01</t>
        </is>
      </c>
      <c r="G15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8" s="19" t="inlineStr">
        <is>
          <t>BS-01</t>
        </is>
      </c>
      <c r="I158" s="19" t="n">
        <v>2</v>
      </c>
      <c r="J158" s="20" t="n">
        <v>430</v>
      </c>
      <c r="K158" s="20" t="n">
        <v>507.2</v>
      </c>
      <c r="L158" s="20" t="n">
        <v>0</v>
      </c>
      <c r="M158" s="20" t="n">
        <v>0</v>
      </c>
      <c r="N158" s="20">
        <f>K158*0.08+L158*0.08</f>
        <v/>
      </c>
      <c r="O158" s="20">
        <f>-(K158*0.025+L158*0.025)</f>
        <v/>
      </c>
      <c r="P158" s="20">
        <f>32</f>
        <v/>
      </c>
      <c r="Q158" s="20">
        <f>J158+L158+N158+O158-P158-M158</f>
        <v/>
      </c>
    </row>
    <row r="159">
      <c r="A159" s="19" t="inlineStr">
        <is>
          <t>5.15-5.21</t>
        </is>
      </c>
      <c r="B159" s="19" t="inlineStr">
        <is>
          <t>PO-128-07236454508151506</t>
        </is>
      </c>
      <c r="C159" s="19" t="inlineStr">
        <is>
          <t>Delivered</t>
        </is>
      </c>
      <c r="D159" s="19" t="inlineStr">
        <is>
          <t>128-07236475479671506</t>
        </is>
      </c>
      <c r="E159" s="19" t="inlineStr">
        <is>
          <t>Delivered</t>
        </is>
      </c>
      <c r="F159" s="19" t="inlineStr">
        <is>
          <t>BS-01</t>
        </is>
      </c>
      <c r="G15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9" s="19" t="inlineStr">
        <is>
          <t>BS-01</t>
        </is>
      </c>
      <c r="I159" s="19" t="n">
        <v>1</v>
      </c>
      <c r="J159" s="20" t="n">
        <v>215</v>
      </c>
      <c r="K159" s="20" t="n">
        <v>253.6</v>
      </c>
      <c r="L159" s="20" t="n">
        <v>25.86</v>
      </c>
      <c r="M159" s="20" t="n">
        <v>0</v>
      </c>
      <c r="N159" s="20">
        <f>K159*0.08+L159*0.08</f>
        <v/>
      </c>
      <c r="O159" s="20">
        <f>-(K159*0.025+L159*0.025)</f>
        <v/>
      </c>
      <c r="P159" s="20">
        <f>32</f>
        <v/>
      </c>
      <c r="Q159" s="20">
        <f>J159+L159+N159+O159-P159-M159</f>
        <v/>
      </c>
    </row>
    <row r="160">
      <c r="A160" s="19" t="inlineStr">
        <is>
          <t>5.15-5.21</t>
        </is>
      </c>
      <c r="B160" s="19" t="inlineStr">
        <is>
          <t>PO-128-07108104218232273</t>
        </is>
      </c>
      <c r="C160" s="19" t="inlineStr">
        <is>
          <t>Delivered</t>
        </is>
      </c>
      <c r="D160" s="19" t="inlineStr">
        <is>
          <t>128-07108156647032273</t>
        </is>
      </c>
      <c r="E160" s="19" t="inlineStr">
        <is>
          <t>Delivered</t>
        </is>
      </c>
      <c r="F160" s="19" t="inlineStr">
        <is>
          <t>BS-01</t>
        </is>
      </c>
      <c r="G16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0" s="19" t="inlineStr">
        <is>
          <t>BS-01</t>
        </is>
      </c>
      <c r="I160" s="19" t="n">
        <v>1</v>
      </c>
      <c r="J160" s="20" t="n">
        <v>215</v>
      </c>
      <c r="K160" s="20" t="n">
        <v>253.6</v>
      </c>
      <c r="L160" s="20" t="n">
        <v>25.86</v>
      </c>
      <c r="M160" s="20" t="n">
        <v>0</v>
      </c>
      <c r="N160" s="20">
        <f>K160*0.08+L160*0.08</f>
        <v/>
      </c>
      <c r="O160" s="20">
        <f>-(K160*0.025+L160*0.025)</f>
        <v/>
      </c>
      <c r="P160" s="20">
        <f>32</f>
        <v/>
      </c>
      <c r="Q160" s="20">
        <f>J160+L160+N160+O160-P160-M160</f>
        <v/>
      </c>
    </row>
    <row r="161">
      <c r="A161" s="19" t="inlineStr">
        <is>
          <t>5.15-5.21</t>
        </is>
      </c>
      <c r="B161" s="19" t="inlineStr">
        <is>
          <t>PO-128-07175226952312705</t>
        </is>
      </c>
      <c r="C161" s="19" t="inlineStr">
        <is>
          <t>Delivered</t>
        </is>
      </c>
      <c r="D161" s="19" t="inlineStr">
        <is>
          <t>128-07175247923832705</t>
        </is>
      </c>
      <c r="E161" s="19" t="inlineStr">
        <is>
          <t>Delivered</t>
        </is>
      </c>
      <c r="F161" s="19" t="inlineStr">
        <is>
          <t>BS-09</t>
        </is>
      </c>
      <c r="G161" s="19" t="inlineStr">
        <is>
          <t>Altavoz de barra para PC con iluminación RGB, sonido de alta fidelidad y múltiples conexiones: Bluetooth, radio FM, USB, TF, AUX y TWS. Ideal para juegos, reuniones y cine en casa.</t>
        </is>
      </c>
      <c r="H161" s="19" t="inlineStr">
        <is>
          <t>NEGRO</t>
        </is>
      </c>
      <c r="I161" s="19" t="n">
        <v>1</v>
      </c>
      <c r="J161" s="20" t="n">
        <v>114</v>
      </c>
      <c r="K161" s="20" t="n">
        <v>99.28</v>
      </c>
      <c r="L161" s="20" t="n">
        <v>25.86</v>
      </c>
      <c r="M161" s="20" t="n">
        <v>0</v>
      </c>
      <c r="N161" s="20">
        <f>K161*0.08+L161*0.08</f>
        <v/>
      </c>
      <c r="O161" s="20">
        <f>-(K161*0.025+L161*0.025)</f>
        <v/>
      </c>
      <c r="P161" s="20">
        <f>32</f>
        <v/>
      </c>
      <c r="Q161" s="20">
        <f>J161+L161+N161+O161-P161-M161</f>
        <v/>
      </c>
    </row>
    <row r="162">
      <c r="A162" s="19" t="inlineStr">
        <is>
          <t>5.15-5.21</t>
        </is>
      </c>
      <c r="B162" s="19" t="inlineStr">
        <is>
          <t>PO-128-07356389525111753</t>
        </is>
      </c>
      <c r="C162" s="19" t="inlineStr">
        <is>
          <t>Delivered</t>
        </is>
      </c>
      <c r="D162" s="19" t="inlineStr">
        <is>
          <t>128-07356337096311753</t>
        </is>
      </c>
      <c r="E162" s="19" t="inlineStr">
        <is>
          <t>Delivered</t>
        </is>
      </c>
      <c r="F162" s="19" t="inlineStr">
        <is>
          <t>BS-01</t>
        </is>
      </c>
      <c r="G16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2" s="19" t="inlineStr">
        <is>
          <t>BS-01</t>
        </is>
      </c>
      <c r="I162" s="19" t="n">
        <v>1</v>
      </c>
      <c r="J162" s="20" t="n">
        <v>215</v>
      </c>
      <c r="K162" s="20" t="n">
        <v>253.6</v>
      </c>
      <c r="L162" s="20" t="n">
        <v>25.86</v>
      </c>
      <c r="M162" s="20" t="n">
        <v>0</v>
      </c>
      <c r="N162" s="20">
        <f>K162*0.08+L162*0.08</f>
        <v/>
      </c>
      <c r="O162" s="20">
        <f>-(K162*0.025+L162*0.025)</f>
        <v/>
      </c>
      <c r="P162" s="20">
        <f>32</f>
        <v/>
      </c>
      <c r="Q162" s="20">
        <f>J162+L162+N162+O162-P162-M162</f>
        <v/>
      </c>
    </row>
    <row r="163">
      <c r="A163" s="19" t="inlineStr">
        <is>
          <t>5.15-5.21</t>
        </is>
      </c>
      <c r="B163" s="19" t="inlineStr">
        <is>
          <t>PO-128-06961894165113974</t>
        </is>
      </c>
      <c r="C163" s="19" t="inlineStr">
        <is>
          <t>Delivered</t>
        </is>
      </c>
      <c r="D163" s="19" t="inlineStr">
        <is>
          <t>128-06962030479993974</t>
        </is>
      </c>
      <c r="E163" s="19" t="inlineStr">
        <is>
          <t>Delivered</t>
        </is>
      </c>
      <c r="F163" s="19" t="inlineStr">
        <is>
          <t>BS-09</t>
        </is>
      </c>
      <c r="G163" s="19" t="inlineStr">
        <is>
          <t>Altavoz de barra para PC con iluminación RGB, sonido de alta fidelidad y múltiples conexiones: Bluetooth, radio FM, USB, TF, AUX y TWS. Ideal para juegos, reuniones y cine en casa.</t>
        </is>
      </c>
      <c r="H163" s="19" t="inlineStr">
        <is>
          <t>NEGRO</t>
        </is>
      </c>
      <c r="I163" s="19" t="n">
        <v>1</v>
      </c>
      <c r="J163" s="20" t="n">
        <v>114</v>
      </c>
      <c r="K163" s="20" t="n">
        <v>142.38</v>
      </c>
      <c r="L163" s="20" t="n">
        <v>25.86</v>
      </c>
      <c r="M163" s="20" t="n">
        <v>0</v>
      </c>
      <c r="N163" s="20">
        <f>K163*0.08+L163*0.08</f>
        <v/>
      </c>
      <c r="O163" s="20">
        <f>-(K163*0.025+L163*0.025)</f>
        <v/>
      </c>
      <c r="P163" s="20">
        <f>32</f>
        <v/>
      </c>
      <c r="Q163" s="20">
        <f>J163+L163+N163+O163-P163-M163</f>
        <v/>
      </c>
    </row>
    <row r="164">
      <c r="A164" s="19" t="inlineStr">
        <is>
          <t>5.15-5.21</t>
        </is>
      </c>
      <c r="B164" s="19" t="inlineStr">
        <is>
          <t>PO-128-07228623242871491</t>
        </is>
      </c>
      <c r="C164" s="19" t="inlineStr">
        <is>
          <t>Delivered</t>
        </is>
      </c>
      <c r="D164" s="19" t="inlineStr">
        <is>
          <t>128-07228581299831491</t>
        </is>
      </c>
      <c r="E164" s="19" t="inlineStr">
        <is>
          <t>Delivered</t>
        </is>
      </c>
      <c r="F164" s="19" t="inlineStr">
        <is>
          <t>BS-01</t>
        </is>
      </c>
      <c r="G16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4" s="19" t="inlineStr">
        <is>
          <t>BS-01</t>
        </is>
      </c>
      <c r="I164" s="19" t="n">
        <v>1</v>
      </c>
      <c r="J164" s="20" t="n">
        <v>215</v>
      </c>
      <c r="K164" s="20" t="n">
        <v>253.6</v>
      </c>
      <c r="L164" s="20" t="n">
        <v>25.86</v>
      </c>
      <c r="M164" s="20" t="n">
        <v>0</v>
      </c>
      <c r="N164" s="20">
        <f>K164*0.08+L164*0.08</f>
        <v/>
      </c>
      <c r="O164" s="20">
        <f>-(K164*0.025+L164*0.025)</f>
        <v/>
      </c>
      <c r="P164" s="20">
        <f>32</f>
        <v/>
      </c>
      <c r="Q164" s="20">
        <f>J164+L164+N164+O164-P164-M164</f>
        <v/>
      </c>
    </row>
    <row r="165">
      <c r="A165" s="19" t="inlineStr">
        <is>
          <t>5.15-5.21</t>
        </is>
      </c>
      <c r="B165" s="19" t="inlineStr">
        <is>
          <t>PO-128-06914438216313427</t>
        </is>
      </c>
      <c r="C165" s="19" t="inlineStr">
        <is>
          <t>Delivered</t>
        </is>
      </c>
      <c r="D165" s="19" t="inlineStr">
        <is>
          <t>128-06914434284153427</t>
        </is>
      </c>
      <c r="E165" s="19" t="inlineStr">
        <is>
          <t>Delivered</t>
        </is>
      </c>
      <c r="F165" s="19" t="inlineStr">
        <is>
          <t>IE01MB</t>
        </is>
      </c>
      <c r="G165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65" s="19" t="inlineStr">
        <is>
          <t>1 pieza</t>
        </is>
      </c>
      <c r="I165" s="19" t="n">
        <v>1</v>
      </c>
      <c r="J165" s="20" t="n">
        <v>17.4</v>
      </c>
      <c r="K165" s="20" t="n">
        <v>11.15</v>
      </c>
      <c r="L165" s="20" t="n">
        <v>25.86</v>
      </c>
      <c r="M165" s="20" t="n">
        <v>0</v>
      </c>
      <c r="N165" s="20">
        <f>K165*0.08+L165*0.08</f>
        <v/>
      </c>
      <c r="O165" s="20">
        <f>-(K165*0.025+L165*0.025)</f>
        <v/>
      </c>
      <c r="P165" s="20">
        <f>32</f>
        <v/>
      </c>
      <c r="Q165" s="20">
        <f>J165+L165+N165+O165-P165-M165</f>
        <v/>
      </c>
    </row>
    <row r="166">
      <c r="A166" s="19" t="inlineStr">
        <is>
          <t>5.15-5.21</t>
        </is>
      </c>
      <c r="B166" s="19" t="inlineStr">
        <is>
          <t>PO-128-07439321662070171</t>
        </is>
      </c>
      <c r="C166" s="19" t="inlineStr">
        <is>
          <t>Delivered</t>
        </is>
      </c>
      <c r="D166" s="19" t="inlineStr">
        <is>
          <t>128-07439279719030171</t>
        </is>
      </c>
      <c r="E166" s="19" t="inlineStr">
        <is>
          <t>Delivered</t>
        </is>
      </c>
      <c r="F166" s="19" t="inlineStr">
        <is>
          <t>BS-09</t>
        </is>
      </c>
      <c r="G166" s="19" t="inlineStr">
        <is>
          <t>Altavoz de barra para PC con iluminación RGB, sonido de alta fidelidad y múltiples conexiones: Bluetooth, radio FM, USB, TF, AUX y TWS. Ideal para juegos, reuniones y cine en casa.</t>
        </is>
      </c>
      <c r="H166" s="19" t="inlineStr">
        <is>
          <t>NEGRO</t>
        </is>
      </c>
      <c r="I166" s="19" t="n">
        <v>1</v>
      </c>
      <c r="J166" s="20" t="n">
        <v>114</v>
      </c>
      <c r="K166" s="20" t="n">
        <v>142.38</v>
      </c>
      <c r="L166" s="20" t="n">
        <v>25.86</v>
      </c>
      <c r="M166" s="20" t="n">
        <v>0</v>
      </c>
      <c r="N166" s="20">
        <f>K166*0.08+L166*0.08</f>
        <v/>
      </c>
      <c r="O166" s="20">
        <f>-(K166*0.025+L166*0.025)</f>
        <v/>
      </c>
      <c r="P166" s="20">
        <f>32</f>
        <v/>
      </c>
      <c r="Q166" s="20">
        <f>J166+L166+N166+O166-P166-M166</f>
        <v/>
      </c>
    </row>
    <row r="167">
      <c r="A167" s="19" t="inlineStr">
        <is>
          <t>5.15-5.21</t>
        </is>
      </c>
      <c r="B167" s="19" t="inlineStr">
        <is>
          <t>PO-128-13026576574070722</t>
        </is>
      </c>
      <c r="C167" s="19" t="inlineStr">
        <is>
          <t>Delivered</t>
        </is>
      </c>
      <c r="D167" s="19" t="inlineStr">
        <is>
          <t>128-13026618517110722</t>
        </is>
      </c>
      <c r="E167" s="19" t="inlineStr">
        <is>
          <t>Delivered</t>
        </is>
      </c>
      <c r="F167" s="19" t="inlineStr">
        <is>
          <t>BS-01</t>
        </is>
      </c>
      <c r="G16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7" s="19" t="inlineStr">
        <is>
          <t>BS-01</t>
        </is>
      </c>
      <c r="I167" s="19" t="n">
        <v>1</v>
      </c>
      <c r="J167" s="20" t="n">
        <v>215</v>
      </c>
      <c r="K167" s="20" t="n">
        <v>253.6</v>
      </c>
      <c r="L167" s="20" t="n">
        <v>25.86</v>
      </c>
      <c r="M167" s="20" t="n">
        <v>0</v>
      </c>
      <c r="N167" s="20">
        <f>K167*0.08+L167*0.08</f>
        <v/>
      </c>
      <c r="O167" s="20">
        <f>-(K167*0.025+L167*0.025)</f>
        <v/>
      </c>
      <c r="P167" s="20">
        <f>32</f>
        <v/>
      </c>
      <c r="Q167" s="20">
        <f>J167+L167+N167+O167-P167-M167</f>
        <v/>
      </c>
    </row>
    <row r="168">
      <c r="A168" s="19" t="inlineStr">
        <is>
          <t>5.15-5.21</t>
        </is>
      </c>
      <c r="B168" s="19" t="inlineStr">
        <is>
          <t>PO-128-12406408136313397</t>
        </is>
      </c>
      <c r="C168" s="19" t="inlineStr">
        <is>
          <t>Delivered</t>
        </is>
      </c>
      <c r="D168" s="19" t="inlineStr">
        <is>
          <t>128-12406366193273397</t>
        </is>
      </c>
      <c r="E168" s="19" t="inlineStr">
        <is>
          <t>Delivered</t>
        </is>
      </c>
      <c r="F168" s="19" t="inlineStr">
        <is>
          <t>BS-01</t>
        </is>
      </c>
      <c r="G16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8" s="19" t="inlineStr">
        <is>
          <t>BS-01</t>
        </is>
      </c>
      <c r="I168" s="19" t="n">
        <v>1</v>
      </c>
      <c r="J168" s="20" t="n">
        <v>215</v>
      </c>
      <c r="K168" s="20" t="n">
        <v>210.5</v>
      </c>
      <c r="L168" s="20" t="n">
        <v>25.86</v>
      </c>
      <c r="M168" s="20" t="n">
        <v>0</v>
      </c>
      <c r="N168" s="20">
        <f>K168*0.08+L168*0.08</f>
        <v/>
      </c>
      <c r="O168" s="20">
        <f>-(K168*0.025+L168*0.025)</f>
        <v/>
      </c>
      <c r="P168" s="20">
        <f>32</f>
        <v/>
      </c>
      <c r="Q168" s="20">
        <f>J168+L168+N168+O168-P168-M168</f>
        <v/>
      </c>
    </row>
    <row r="169">
      <c r="A169" s="19" t="inlineStr">
        <is>
          <t>5.15-5.21</t>
        </is>
      </c>
      <c r="B169" s="19" t="inlineStr">
        <is>
          <t>PO-128-12593020396152218</t>
        </is>
      </c>
      <c r="C169" s="19" t="inlineStr">
        <is>
          <t>Delivered</t>
        </is>
      </c>
      <c r="D169" s="19" t="inlineStr">
        <is>
          <t>128-12593062093432218</t>
        </is>
      </c>
      <c r="E169" s="19" t="inlineStr">
        <is>
          <t>Delivered</t>
        </is>
      </c>
      <c r="F169" s="19" t="inlineStr">
        <is>
          <t>BS-01</t>
        </is>
      </c>
      <c r="G16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9" s="19" t="inlineStr">
        <is>
          <t>BS-01</t>
        </is>
      </c>
      <c r="I169" s="19" t="n">
        <v>1</v>
      </c>
      <c r="J169" s="20" t="n">
        <v>215</v>
      </c>
      <c r="K169" s="20" t="n">
        <v>253.6</v>
      </c>
      <c r="L169" s="20" t="n">
        <v>25.86</v>
      </c>
      <c r="M169" s="20" t="n">
        <v>0</v>
      </c>
      <c r="N169" s="20">
        <f>K169*0.08+L169*0.08</f>
        <v/>
      </c>
      <c r="O169" s="20">
        <f>-(K169*0.025+L169*0.025)</f>
        <v/>
      </c>
      <c r="P169" s="20">
        <f>32</f>
        <v/>
      </c>
      <c r="Q169" s="20">
        <f>J169+L169+N169+O169-P169-M169</f>
        <v/>
      </c>
    </row>
    <row r="170">
      <c r="A170" s="19" t="inlineStr">
        <is>
          <t>5.15-5.21</t>
        </is>
      </c>
      <c r="B170" s="19" t="inlineStr">
        <is>
          <t>PO-128-12695374479992568</t>
        </is>
      </c>
      <c r="C170" s="19" t="inlineStr">
        <is>
          <t>Delivered</t>
        </is>
      </c>
      <c r="D170" s="19" t="inlineStr">
        <is>
          <t>128-12695384965752568</t>
        </is>
      </c>
      <c r="E170" s="19" t="inlineStr">
        <is>
          <t>Delivered</t>
        </is>
      </c>
      <c r="F170" s="19" t="inlineStr">
        <is>
          <t>BS-01</t>
        </is>
      </c>
      <c r="G17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0" s="19" t="inlineStr">
        <is>
          <t>BS-01</t>
        </is>
      </c>
      <c r="I170" s="19" t="n">
        <v>1</v>
      </c>
      <c r="J170" s="20" t="n">
        <v>215</v>
      </c>
      <c r="K170" s="20" t="n">
        <v>253.6</v>
      </c>
      <c r="L170" s="20" t="n">
        <v>25.86</v>
      </c>
      <c r="M170" s="20" t="n">
        <v>0</v>
      </c>
      <c r="N170" s="20">
        <f>K170*0.08+L170*0.08</f>
        <v/>
      </c>
      <c r="O170" s="20">
        <f>-(K170*0.025+L170*0.025)</f>
        <v/>
      </c>
      <c r="P170" s="20">
        <f>32</f>
        <v/>
      </c>
      <c r="Q170" s="20">
        <f>J170+L170+N170+O170-P170-M170</f>
        <v/>
      </c>
    </row>
    <row r="171">
      <c r="A171" s="19" t="inlineStr">
        <is>
          <t>5.15-5.21</t>
        </is>
      </c>
      <c r="B171" s="19" t="inlineStr">
        <is>
          <t>PO-128-12869407140471597</t>
        </is>
      </c>
      <c r="C171" s="19" t="inlineStr">
        <is>
          <t>Delivered</t>
        </is>
      </c>
      <c r="D171" s="19" t="inlineStr">
        <is>
          <t>128-12869378304631597</t>
        </is>
      </c>
      <c r="E171" s="19" t="inlineStr">
        <is>
          <t>Delivered</t>
        </is>
      </c>
      <c r="F171" s="19" t="inlineStr">
        <is>
          <t>BS-01</t>
        </is>
      </c>
      <c r="G17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1" s="19" t="inlineStr">
        <is>
          <t>BS-01</t>
        </is>
      </c>
      <c r="I171" s="19" t="n">
        <v>1</v>
      </c>
      <c r="J171" s="20" t="n">
        <v>215</v>
      </c>
      <c r="K171" s="20" t="n">
        <v>202.88</v>
      </c>
      <c r="L171" s="20" t="n">
        <v>25.86</v>
      </c>
      <c r="M171" s="20" t="n">
        <v>0</v>
      </c>
      <c r="N171" s="20">
        <f>K171*0.08+L171*0.08</f>
        <v/>
      </c>
      <c r="O171" s="20">
        <f>-(K171*0.025+L171*0.025)</f>
        <v/>
      </c>
      <c r="P171" s="20">
        <f>32</f>
        <v/>
      </c>
      <c r="Q171" s="20">
        <f>J171+L171+N171+O171-P171-M171</f>
        <v/>
      </c>
    </row>
    <row r="172">
      <c r="A172" s="19" t="inlineStr">
        <is>
          <t>5.15-5.21</t>
        </is>
      </c>
      <c r="B172" s="19" t="inlineStr">
        <is>
          <t>PO-128-12611664036472109</t>
        </is>
      </c>
      <c r="C172" s="19" t="inlineStr">
        <is>
          <t>Delivered</t>
        </is>
      </c>
      <c r="D172" s="19" t="inlineStr">
        <is>
          <t>128-12611643064952109</t>
        </is>
      </c>
      <c r="E172" s="19" t="inlineStr">
        <is>
          <t>Delivered</t>
        </is>
      </c>
      <c r="F172" s="19" t="inlineStr">
        <is>
          <t>BS-01</t>
        </is>
      </c>
      <c r="G17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2" s="19" t="inlineStr">
        <is>
          <t>BS-01</t>
        </is>
      </c>
      <c r="I172" s="19" t="n">
        <v>1</v>
      </c>
      <c r="J172" s="20" t="n">
        <v>215</v>
      </c>
      <c r="K172" s="20" t="n">
        <v>212.54</v>
      </c>
      <c r="L172" s="20" t="n">
        <v>25.86</v>
      </c>
      <c r="M172" s="20" t="n">
        <v>0</v>
      </c>
      <c r="N172" s="20">
        <f>K172*0.08+L172*0.08</f>
        <v/>
      </c>
      <c r="O172" s="20">
        <f>-(K172*0.025+L172*0.025)</f>
        <v/>
      </c>
      <c r="P172" s="20">
        <f>32</f>
        <v/>
      </c>
      <c r="Q172" s="20">
        <f>J172+L172+N172+O172-P172-M172</f>
        <v/>
      </c>
    </row>
    <row r="173">
      <c r="A173" s="19" t="inlineStr">
        <is>
          <t>5.15-5.21</t>
        </is>
      </c>
      <c r="B173" s="19" t="inlineStr">
        <is>
          <t>PO-128-12897919283830467</t>
        </is>
      </c>
      <c r="C173" s="19" t="inlineStr">
        <is>
          <t>Delivered</t>
        </is>
      </c>
      <c r="D173" s="19" t="inlineStr">
        <is>
          <t>128-12897971712630467</t>
        </is>
      </c>
      <c r="E173" s="19" t="inlineStr">
        <is>
          <t>Delivered</t>
        </is>
      </c>
      <c r="F173" s="19" t="inlineStr">
        <is>
          <t>BS-01</t>
        </is>
      </c>
      <c r="G17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3" s="19" t="inlineStr">
        <is>
          <t>BS-01</t>
        </is>
      </c>
      <c r="I173" s="19" t="n">
        <v>1</v>
      </c>
      <c r="J173" s="20" t="n">
        <v>215</v>
      </c>
      <c r="K173" s="20" t="n">
        <v>253.6</v>
      </c>
      <c r="L173" s="20" t="n">
        <v>25.86</v>
      </c>
      <c r="M173" s="20" t="n">
        <v>0</v>
      </c>
      <c r="N173" s="20">
        <f>K173*0.08+L173*0.08</f>
        <v/>
      </c>
      <c r="O173" s="20">
        <f>-(K173*0.025+L173*0.025)</f>
        <v/>
      </c>
      <c r="P173" s="20">
        <f>32</f>
        <v/>
      </c>
      <c r="Q173" s="20">
        <f>J173+L173+N173+O173-P173-M173</f>
        <v/>
      </c>
    </row>
    <row r="174">
      <c r="A174" s="19" t="inlineStr">
        <is>
          <t>5.15-5.21</t>
        </is>
      </c>
      <c r="B174" s="19" t="inlineStr">
        <is>
          <t>PO-128-12743650796151320</t>
        </is>
      </c>
      <c r="C174" s="19" t="inlineStr">
        <is>
          <t>Delivered</t>
        </is>
      </c>
      <c r="D174" s="19" t="inlineStr">
        <is>
          <t>128-12743661281911320</t>
        </is>
      </c>
      <c r="E174" s="19" t="inlineStr">
        <is>
          <t>Delivered</t>
        </is>
      </c>
      <c r="F174" s="19" t="inlineStr">
        <is>
          <t>BS-01</t>
        </is>
      </c>
      <c r="G17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4" s="19" t="inlineStr">
        <is>
          <t>BS-01</t>
        </is>
      </c>
      <c r="I174" s="19" t="n">
        <v>1</v>
      </c>
      <c r="J174" s="20" t="n">
        <v>215</v>
      </c>
      <c r="K174" s="20" t="n">
        <v>253.6</v>
      </c>
      <c r="L174" s="20" t="n">
        <v>25.86</v>
      </c>
      <c r="M174" s="20" t="n">
        <v>0</v>
      </c>
      <c r="N174" s="20">
        <f>K174*0.08+L174*0.08</f>
        <v/>
      </c>
      <c r="O174" s="20">
        <f>-(K174*0.025+L174*0.025)</f>
        <v/>
      </c>
      <c r="P174" s="20">
        <f>32</f>
        <v/>
      </c>
      <c r="Q174" s="20">
        <f>J174+L174+N174+O174-P174-M174</f>
        <v/>
      </c>
    </row>
    <row r="175">
      <c r="A175" s="19" t="inlineStr">
        <is>
          <t>5.15-5.21</t>
        </is>
      </c>
      <c r="B175" s="19" t="inlineStr">
        <is>
          <t>PO-128-12514916414073836</t>
        </is>
      </c>
      <c r="C175" s="19" t="inlineStr">
        <is>
          <t>Delivered</t>
        </is>
      </c>
      <c r="D175" s="19" t="inlineStr">
        <is>
          <t>128-12514937385593836</t>
        </is>
      </c>
      <c r="E175" s="19" t="inlineStr">
        <is>
          <t>Delivered</t>
        </is>
      </c>
      <c r="F175" s="19" t="inlineStr">
        <is>
          <t>BS-01</t>
        </is>
      </c>
      <c r="G17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5" s="19" t="inlineStr">
        <is>
          <t>BS-01</t>
        </is>
      </c>
      <c r="I175" s="19" t="n">
        <v>1</v>
      </c>
      <c r="J175" s="20" t="n">
        <v>215</v>
      </c>
      <c r="K175" s="20" t="n">
        <v>253.6</v>
      </c>
      <c r="L175" s="20" t="n">
        <v>25.86</v>
      </c>
      <c r="M175" s="20" t="n">
        <v>0</v>
      </c>
      <c r="N175" s="20">
        <f>K175*0.08+L175*0.08</f>
        <v/>
      </c>
      <c r="O175" s="20">
        <f>-(K175*0.025+L175*0.025)</f>
        <v/>
      </c>
      <c r="P175" s="20">
        <f>32</f>
        <v/>
      </c>
      <c r="Q175" s="20">
        <f>J175+L175+N175+O175-P175-M175</f>
        <v/>
      </c>
    </row>
    <row r="176">
      <c r="A176" s="19" t="inlineStr">
        <is>
          <t>5.15-5.21</t>
        </is>
      </c>
      <c r="B176" s="19" t="inlineStr">
        <is>
          <t>PO-128-12740006994551342</t>
        </is>
      </c>
      <c r="C176" s="19" t="inlineStr">
        <is>
          <t>Delivered</t>
        </is>
      </c>
      <c r="D176" s="19" t="inlineStr">
        <is>
          <t>128-12740048937591342</t>
        </is>
      </c>
      <c r="E176" s="19" t="inlineStr">
        <is>
          <t>Delivered</t>
        </is>
      </c>
      <c r="F176" s="19" t="inlineStr">
        <is>
          <t>BS-01</t>
        </is>
      </c>
      <c r="G17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6" s="19" t="inlineStr">
        <is>
          <t>BS-01</t>
        </is>
      </c>
      <c r="I176" s="19" t="n">
        <v>1</v>
      </c>
      <c r="J176" s="20" t="n">
        <v>215</v>
      </c>
      <c r="K176" s="20" t="n">
        <v>253.6</v>
      </c>
      <c r="L176" s="20" t="n">
        <v>25.86</v>
      </c>
      <c r="M176" s="20" t="n">
        <v>0</v>
      </c>
      <c r="N176" s="20">
        <f>K176*0.08+L176*0.08</f>
        <v/>
      </c>
      <c r="O176" s="20">
        <f>-(K176*0.025+L176*0.025)</f>
        <v/>
      </c>
      <c r="P176" s="20">
        <f>32</f>
        <v/>
      </c>
      <c r="Q176" s="20">
        <f>J176+L176+N176+O176-P176-M176</f>
        <v/>
      </c>
    </row>
    <row r="177">
      <c r="A177" s="19" t="inlineStr">
        <is>
          <t>5.15-5.21</t>
        </is>
      </c>
      <c r="B177" s="19" t="inlineStr">
        <is>
          <t>PO-128-12671329239672713</t>
        </is>
      </c>
      <c r="C177" s="19" t="inlineStr">
        <is>
          <t>Delivered</t>
        </is>
      </c>
      <c r="D177" s="19" t="inlineStr">
        <is>
          <t>128-12671388222072713</t>
        </is>
      </c>
      <c r="E177" s="19" t="inlineStr">
        <is>
          <t>Delivered</t>
        </is>
      </c>
      <c r="F177" s="19" t="inlineStr">
        <is>
          <t>BS-01</t>
        </is>
      </c>
      <c r="G17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7" s="19" t="inlineStr">
        <is>
          <t>BS-01</t>
        </is>
      </c>
      <c r="I177" s="19" t="n">
        <v>1</v>
      </c>
      <c r="J177" s="20" t="n">
        <v>219</v>
      </c>
      <c r="K177" s="20" t="n">
        <v>257.6</v>
      </c>
      <c r="L177" s="20" t="n">
        <v>25.86</v>
      </c>
      <c r="M177" s="20" t="n">
        <v>0</v>
      </c>
      <c r="N177" s="20">
        <f>K177*0.08+L177*0.08</f>
        <v/>
      </c>
      <c r="O177" s="20">
        <f>-(K177*0.025+L177*0.025)</f>
        <v/>
      </c>
      <c r="P177" s="20">
        <f>32</f>
        <v/>
      </c>
      <c r="Q177" s="20">
        <f>J177+L177+N177+O177-P177-M177</f>
        <v/>
      </c>
    </row>
    <row r="178">
      <c r="A178" s="19" t="inlineStr">
        <is>
          <t>5.15-5.21</t>
        </is>
      </c>
      <c r="B178" s="19" t="inlineStr">
        <is>
          <t>PO-128-12757864105591172</t>
        </is>
      </c>
      <c r="C178" s="19" t="inlineStr">
        <is>
          <t>Delivered</t>
        </is>
      </c>
      <c r="D178" s="19" t="inlineStr">
        <is>
          <t>128-12757822162551172</t>
        </is>
      </c>
      <c r="E178" s="19" t="inlineStr">
        <is>
          <t>Delivered</t>
        </is>
      </c>
      <c r="F178" s="19" t="inlineStr">
        <is>
          <t>BS-01</t>
        </is>
      </c>
      <c r="G17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8" s="19" t="inlineStr">
        <is>
          <t>BS-01</t>
        </is>
      </c>
      <c r="I178" s="19" t="n">
        <v>2</v>
      </c>
      <c r="J178" s="20" t="n">
        <v>438</v>
      </c>
      <c r="K178" s="20" t="n">
        <v>506.58</v>
      </c>
      <c r="L178" s="20" t="n">
        <v>0</v>
      </c>
      <c r="M178" s="20" t="n">
        <v>0</v>
      </c>
      <c r="N178" s="20">
        <f>K178*0.08+L178*0.08</f>
        <v/>
      </c>
      <c r="O178" s="20">
        <f>-(K178*0.025+L178*0.025)</f>
        <v/>
      </c>
      <c r="P178" s="20">
        <f>32</f>
        <v/>
      </c>
      <c r="Q178" s="20">
        <f>J178+L178+N178+O178-P178-M178</f>
        <v/>
      </c>
    </row>
    <row r="179">
      <c r="A179" s="19" t="inlineStr">
        <is>
          <t>5.15-5.21</t>
        </is>
      </c>
      <c r="B179" s="19" t="inlineStr">
        <is>
          <t>PO-128-13033200640630749</t>
        </is>
      </c>
      <c r="C179" s="19" t="inlineStr">
        <is>
          <t>Delivered</t>
        </is>
      </c>
      <c r="D179" s="19" t="inlineStr">
        <is>
          <t>128-13033158697590749</t>
        </is>
      </c>
      <c r="E179" s="19" t="inlineStr">
        <is>
          <t>Delivered</t>
        </is>
      </c>
      <c r="F179" s="19" t="inlineStr">
        <is>
          <t>BS-09</t>
        </is>
      </c>
      <c r="G179" s="19" t="inlineStr">
        <is>
          <t>Altavoz de barra para PC con iluminación RGB, sonido de alta fidelidad y múltiples conexiones: Bluetooth, radio FM, USB, TF, AUX y TWS. Ideal para juegos, reuniones y cine en casa.</t>
        </is>
      </c>
      <c r="H179" s="19" t="inlineStr">
        <is>
          <t>NEGRO</t>
        </is>
      </c>
      <c r="I179" s="19" t="n">
        <v>1</v>
      </c>
      <c r="J179" s="20" t="n">
        <v>117.99</v>
      </c>
      <c r="K179" s="20" t="n">
        <v>146.36</v>
      </c>
      <c r="L179" s="20" t="n">
        <v>25.86</v>
      </c>
      <c r="M179" s="20" t="n">
        <v>0</v>
      </c>
      <c r="N179" s="20">
        <f>K179*0.08+L179*0.08</f>
        <v/>
      </c>
      <c r="O179" s="20">
        <f>-(K179*0.025+L179*0.025)</f>
        <v/>
      </c>
      <c r="P179" s="20">
        <f>32</f>
        <v/>
      </c>
      <c r="Q179" s="20">
        <f>J179+L179+N179+O179-P179-M179</f>
        <v/>
      </c>
    </row>
    <row r="180">
      <c r="A180" s="19" t="inlineStr">
        <is>
          <t>5.15-5.21</t>
        </is>
      </c>
      <c r="B180" s="19" t="inlineStr">
        <is>
          <t>PO-128-12573301637752336</t>
        </is>
      </c>
      <c r="C180" s="19" t="inlineStr">
        <is>
          <t>Delivered</t>
        </is>
      </c>
      <c r="D180" s="19" t="inlineStr">
        <is>
          <t>128-12573322609272336</t>
        </is>
      </c>
      <c r="E180" s="19" t="inlineStr">
        <is>
          <t>Delivered</t>
        </is>
      </c>
      <c r="F180" s="19" t="inlineStr">
        <is>
          <t>BS-01</t>
        </is>
      </c>
      <c r="G18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0" s="19" t="inlineStr">
        <is>
          <t>BS-01</t>
        </is>
      </c>
      <c r="I180" s="19" t="n">
        <v>1</v>
      </c>
      <c r="J180" s="20" t="n">
        <v>219</v>
      </c>
      <c r="K180" s="20" t="n">
        <v>257.6</v>
      </c>
      <c r="L180" s="20" t="n">
        <v>25.86</v>
      </c>
      <c r="M180" s="20" t="n">
        <v>0</v>
      </c>
      <c r="N180" s="20">
        <f>K180*0.08+L180*0.08</f>
        <v/>
      </c>
      <c r="O180" s="20">
        <f>-(K180*0.025+L180*0.025)</f>
        <v/>
      </c>
      <c r="P180" s="20">
        <f>32</f>
        <v/>
      </c>
      <c r="Q180" s="20">
        <f>J180+L180+N180+O180-P180-M180</f>
        <v/>
      </c>
    </row>
    <row r="181">
      <c r="A181" s="19" t="inlineStr">
        <is>
          <t>5.15-5.21</t>
        </is>
      </c>
      <c r="B181" s="19" t="inlineStr">
        <is>
          <t>PO-128-01975772984950926</t>
        </is>
      </c>
      <c r="C181" s="19" t="inlineStr">
        <is>
          <t>Delivered</t>
        </is>
      </c>
      <c r="D181" s="19" t="inlineStr">
        <is>
          <t>128-01975849006710926</t>
        </is>
      </c>
      <c r="E181" s="19" t="inlineStr">
        <is>
          <t>Delivered</t>
        </is>
      </c>
      <c r="F181" s="19" t="inlineStr">
        <is>
          <t>BS-01</t>
        </is>
      </c>
      <c r="G18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1" s="19" t="inlineStr">
        <is>
          <t>BS-01</t>
        </is>
      </c>
      <c r="I181" s="19" t="n">
        <v>1</v>
      </c>
      <c r="J181" s="20" t="n">
        <v>219</v>
      </c>
      <c r="K181" s="20" t="n">
        <v>257.6</v>
      </c>
      <c r="L181" s="20" t="n">
        <v>25.86</v>
      </c>
      <c r="M181" s="20" t="n">
        <v>0</v>
      </c>
      <c r="N181" s="20">
        <f>K181*0.08+L181*0.08</f>
        <v/>
      </c>
      <c r="O181" s="20">
        <f>-(K181*0.025+L181*0.025)</f>
        <v/>
      </c>
      <c r="P181" s="20">
        <f>32</f>
        <v/>
      </c>
      <c r="Q181" s="20">
        <f>J181+L181+N181+O181-P181-M181</f>
        <v/>
      </c>
    </row>
    <row r="182">
      <c r="A182" s="19" t="inlineStr">
        <is>
          <t>5.15-5.21</t>
        </is>
      </c>
      <c r="B182" s="19" t="inlineStr">
        <is>
          <t>PO-128-02006419927670809</t>
        </is>
      </c>
      <c r="C182" s="19" t="inlineStr">
        <is>
          <t>Delivered</t>
        </is>
      </c>
      <c r="D182" s="19" t="inlineStr">
        <is>
          <t>128-02006440899190809</t>
        </is>
      </c>
      <c r="E182" s="19" t="inlineStr">
        <is>
          <t>Delivered</t>
        </is>
      </c>
      <c r="F182" s="19" t="inlineStr">
        <is>
          <t>BS-07AM</t>
        </is>
      </c>
      <c r="G182" s="19" t="inlineStr">
        <is>
          <t>Altavoz Inalámbrico Portátil con Diseño Retro, Bajos Optimizados y Sonido 3D Envolvente,Compatible con TF/FM/AUX, Conexión BT TWS. Ideal para Home Theater, Fiestas y Regalos​</t>
        </is>
      </c>
      <c r="H182" s="19" t="inlineStr">
        <is>
          <t>BS-07AM</t>
        </is>
      </c>
      <c r="I182" s="19" t="n">
        <v>1</v>
      </c>
      <c r="J182" s="20" t="n">
        <v>135</v>
      </c>
      <c r="K182" s="20" t="n">
        <v>122.94</v>
      </c>
      <c r="L182" s="20" t="n">
        <v>25.86</v>
      </c>
      <c r="M182" s="20" t="n">
        <v>0</v>
      </c>
      <c r="N182" s="20">
        <f>K182*0.08+L182*0.08</f>
        <v/>
      </c>
      <c r="O182" s="20">
        <f>-(K182*0.025+L182*0.025)</f>
        <v/>
      </c>
      <c r="P182" s="20">
        <f>32</f>
        <v/>
      </c>
      <c r="Q182" s="20">
        <f>J182+L182+N182+O182-P182-M182</f>
        <v/>
      </c>
    </row>
    <row r="183">
      <c r="A183" s="19" t="inlineStr">
        <is>
          <t>5.15-5.21</t>
        </is>
      </c>
      <c r="B183" s="19" t="inlineStr">
        <is>
          <t>PO-128-01682907039352736</t>
        </is>
      </c>
      <c r="C183" s="19" t="inlineStr">
        <is>
          <t>Delivered</t>
        </is>
      </c>
      <c r="D183" s="19" t="inlineStr">
        <is>
          <t>128-01682886067832736</t>
        </is>
      </c>
      <c r="E183" s="19" t="inlineStr">
        <is>
          <t>Delivered</t>
        </is>
      </c>
      <c r="F183" s="19" t="inlineStr">
        <is>
          <t>BS-09</t>
        </is>
      </c>
      <c r="G183" s="19" t="inlineStr">
        <is>
          <t>Altavoz de barra para PC con iluminación RGB, sonido de alta fidelidad y múltiples conexiones: Bluetooth, radio FM, USB, TF, AUX y TWS. Ideal para juegos, reuniones y cine en casa.</t>
        </is>
      </c>
      <c r="H183" s="19" t="inlineStr">
        <is>
          <t>NEGRO</t>
        </is>
      </c>
      <c r="I183" s="19" t="n">
        <v>1</v>
      </c>
      <c r="J183" s="20" t="n">
        <v>117.99</v>
      </c>
      <c r="K183" s="20" t="n">
        <v>146.36</v>
      </c>
      <c r="L183" s="20" t="n">
        <v>25.86</v>
      </c>
      <c r="M183" s="20" t="n">
        <v>0</v>
      </c>
      <c r="N183" s="20">
        <f>K183*0.08+L183*0.08</f>
        <v/>
      </c>
      <c r="O183" s="20">
        <f>-(K183*0.025+L183*0.025)</f>
        <v/>
      </c>
      <c r="P183" s="20">
        <f>32</f>
        <v/>
      </c>
      <c r="Q183" s="20">
        <f>J183+L183+N183+O183-P183-M183</f>
        <v/>
      </c>
    </row>
    <row r="184">
      <c r="A184" s="19" t="inlineStr">
        <is>
          <t>5.15-5.21</t>
        </is>
      </c>
      <c r="B184" s="19" t="inlineStr">
        <is>
          <t>PO-128-01920354453110296</t>
        </is>
      </c>
      <c r="C184" s="19" t="inlineStr">
        <is>
          <t>Delivered</t>
        </is>
      </c>
      <c r="D184" s="19" t="inlineStr">
        <is>
          <t>128-01920459310710296</t>
        </is>
      </c>
      <c r="E184" s="19" t="inlineStr">
        <is>
          <t>Delivered</t>
        </is>
      </c>
      <c r="F184" s="19" t="inlineStr">
        <is>
          <t>BS-01</t>
        </is>
      </c>
      <c r="G18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4" s="19" t="inlineStr">
        <is>
          <t>BS-01</t>
        </is>
      </c>
      <c r="I184" s="19" t="n">
        <v>1</v>
      </c>
      <c r="J184" s="20" t="n">
        <v>219</v>
      </c>
      <c r="K184" s="20" t="n">
        <v>214.5</v>
      </c>
      <c r="L184" s="20" t="n">
        <v>25.86</v>
      </c>
      <c r="M184" s="20" t="n">
        <v>0</v>
      </c>
      <c r="N184" s="20">
        <f>K184*0.08+L184*0.08</f>
        <v/>
      </c>
      <c r="O184" s="20">
        <f>-(K184*0.025+L184*0.025)</f>
        <v/>
      </c>
      <c r="P184" s="20">
        <f>32</f>
        <v/>
      </c>
      <c r="Q184" s="20">
        <f>J184+L184+N184+O184-P184-M184</f>
        <v/>
      </c>
    </row>
    <row r="185">
      <c r="A185" s="19" t="inlineStr">
        <is>
          <t>5.15-5.21</t>
        </is>
      </c>
      <c r="B185" s="19" t="inlineStr">
        <is>
          <t>PO-128-01529319158393589</t>
        </is>
      </c>
      <c r="C185" s="19" t="inlineStr">
        <is>
          <t>Delivered</t>
        </is>
      </c>
      <c r="D185" s="19" t="inlineStr">
        <is>
          <t>128-01529277215353589</t>
        </is>
      </c>
      <c r="E185" s="19" t="inlineStr">
        <is>
          <t>Delivered</t>
        </is>
      </c>
      <c r="F185" s="19" t="inlineStr">
        <is>
          <t>BS-01</t>
        </is>
      </c>
      <c r="G18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5" s="19" t="inlineStr">
        <is>
          <t>BS-01</t>
        </is>
      </c>
      <c r="I185" s="19" t="n">
        <v>1</v>
      </c>
      <c r="J185" s="20" t="n">
        <v>219</v>
      </c>
      <c r="K185" s="20" t="n">
        <v>257.6</v>
      </c>
      <c r="L185" s="20" t="n">
        <v>25.86</v>
      </c>
      <c r="M185" s="20" t="n">
        <v>0</v>
      </c>
      <c r="N185" s="20">
        <f>K185*0.08+L185*0.08</f>
        <v/>
      </c>
      <c r="O185" s="20">
        <f>-(K185*0.025+L185*0.025)</f>
        <v/>
      </c>
      <c r="P185" s="20">
        <f>32</f>
        <v/>
      </c>
      <c r="Q185" s="20">
        <f>J185+L185+N185+O185-P185-M185</f>
        <v/>
      </c>
    </row>
    <row r="186">
      <c r="A186" s="19" t="inlineStr">
        <is>
          <t>5.15-5.21</t>
        </is>
      </c>
      <c r="B186" s="19" t="inlineStr">
        <is>
          <t>PO-128-01412662600313450</t>
        </is>
      </c>
      <c r="C186" s="19" t="inlineStr">
        <is>
          <t>Delivered</t>
        </is>
      </c>
      <c r="D186" s="19" t="inlineStr">
        <is>
          <t>128-01412683571833450</t>
        </is>
      </c>
      <c r="E186" s="19" t="inlineStr">
        <is>
          <t>Delivered</t>
        </is>
      </c>
      <c r="F186" s="19" t="inlineStr">
        <is>
          <t>BS-01</t>
        </is>
      </c>
      <c r="G18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6" s="19" t="inlineStr">
        <is>
          <t>BS-01</t>
        </is>
      </c>
      <c r="I186" s="19" t="n">
        <v>1</v>
      </c>
      <c r="J186" s="20" t="n">
        <v>219</v>
      </c>
      <c r="K186" s="20" t="n">
        <v>257.6</v>
      </c>
      <c r="L186" s="20" t="n">
        <v>25.86</v>
      </c>
      <c r="M186" s="20" t="n">
        <v>0</v>
      </c>
      <c r="N186" s="20">
        <f>K186*0.08+L186*0.08</f>
        <v/>
      </c>
      <c r="O186" s="20">
        <f>-(K186*0.025+L186*0.025)</f>
        <v/>
      </c>
      <c r="P186" s="20">
        <f>32</f>
        <v/>
      </c>
      <c r="Q186" s="20">
        <f>J186+L186+N186+O186-P186-M186</f>
        <v/>
      </c>
    </row>
    <row r="187">
      <c r="A187" s="19" t="inlineStr">
        <is>
          <t>5.15-5.21</t>
        </is>
      </c>
      <c r="B187" s="19" t="inlineStr">
        <is>
          <t>PO-128-01584956974712425</t>
        </is>
      </c>
      <c r="C187" s="19" t="inlineStr">
        <is>
          <t>Delivered</t>
        </is>
      </c>
      <c r="D187" s="19" t="inlineStr">
        <is>
          <t>128-01585093289592425</t>
        </is>
      </c>
      <c r="E187" s="19" t="inlineStr">
        <is>
          <t>Delivered</t>
        </is>
      </c>
      <c r="F187" s="19" t="inlineStr">
        <is>
          <t>BS-09</t>
        </is>
      </c>
      <c r="G187" s="19" t="inlineStr">
        <is>
          <t>Altavoz de barra para PC con iluminación RGB, sonido de alta fidelidad y múltiples conexiones: Bluetooth, radio FM, USB, TF, AUX y TWS. Ideal para juegos, reuniones y cine en casa.</t>
        </is>
      </c>
      <c r="H187" s="19" t="inlineStr">
        <is>
          <t>NEGRO</t>
        </is>
      </c>
      <c r="I187" s="19" t="n">
        <v>1</v>
      </c>
      <c r="J187" s="20" t="n">
        <v>117.99</v>
      </c>
      <c r="K187" s="20" t="n">
        <v>146.36</v>
      </c>
      <c r="L187" s="20" t="n">
        <v>25.86</v>
      </c>
      <c r="M187" s="20" t="n">
        <v>0</v>
      </c>
      <c r="N187" s="20">
        <f>K187*0.08+L187*0.08</f>
        <v/>
      </c>
      <c r="O187" s="20">
        <f>-(K187*0.025+L187*0.025)</f>
        <v/>
      </c>
      <c r="P187" s="20">
        <f>32</f>
        <v/>
      </c>
      <c r="Q187" s="20">
        <f>J187+L187+N187+O187-P187-M187</f>
        <v/>
      </c>
    </row>
    <row r="188">
      <c r="A188" s="19" t="inlineStr">
        <is>
          <t>5.15-5.21</t>
        </is>
      </c>
      <c r="B188" s="19" t="inlineStr">
        <is>
          <t>PO-128-01909424786550491</t>
        </is>
      </c>
      <c r="C188" s="19" t="inlineStr">
        <is>
          <t>Delivered</t>
        </is>
      </c>
      <c r="D188" s="19" t="inlineStr">
        <is>
          <t>128-01909492943990491</t>
        </is>
      </c>
      <c r="E188" s="19" t="inlineStr">
        <is>
          <t>Delivered</t>
        </is>
      </c>
      <c r="F188" s="19" t="inlineStr">
        <is>
          <t>BS-01</t>
        </is>
      </c>
      <c r="G18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8" s="19" t="inlineStr">
        <is>
          <t>BS-01</t>
        </is>
      </c>
      <c r="I188" s="19" t="n">
        <v>1</v>
      </c>
      <c r="J188" s="20" t="n">
        <v>219</v>
      </c>
      <c r="K188" s="20" t="n">
        <v>244.38</v>
      </c>
      <c r="L188" s="20" t="n">
        <v>25.86</v>
      </c>
      <c r="M188" s="20" t="n">
        <v>0</v>
      </c>
      <c r="N188" s="20">
        <f>K188*0.08+L188*0.08</f>
        <v/>
      </c>
      <c r="O188" s="20">
        <f>-(K188*0.025+L188*0.025)</f>
        <v/>
      </c>
      <c r="P188" s="20">
        <f>32</f>
        <v/>
      </c>
      <c r="Q188" s="20">
        <f>J188+L188+N188+O188-P188-M188</f>
        <v/>
      </c>
    </row>
    <row r="189">
      <c r="A189" s="19" t="inlineStr">
        <is>
          <t>5.15-5.21</t>
        </is>
      </c>
      <c r="B189" s="19" t="inlineStr">
        <is>
          <t>PO-128-01718426942071436</t>
        </is>
      </c>
      <c r="C189" s="19" t="inlineStr">
        <is>
          <t>Delivered</t>
        </is>
      </c>
      <c r="D189" s="19" t="inlineStr">
        <is>
          <t>128-01718479370871436</t>
        </is>
      </c>
      <c r="E189" s="19" t="inlineStr">
        <is>
          <t>Delivered</t>
        </is>
      </c>
      <c r="F189" s="19" t="inlineStr">
        <is>
          <t>BS-09</t>
        </is>
      </c>
      <c r="G189" s="19" t="inlineStr">
        <is>
          <t>Altavoz de barra para PC con iluminación RGB, sonido de alta fidelidad y múltiples conexiones: Bluetooth, radio FM, USB, TF, AUX y TWS. Ideal para juegos, reuniones y cine en casa.</t>
        </is>
      </c>
      <c r="H189" s="19" t="inlineStr">
        <is>
          <t>NEGRO</t>
        </is>
      </c>
      <c r="I189" s="19" t="n">
        <v>1</v>
      </c>
      <c r="J189" s="20" t="n">
        <v>117.99</v>
      </c>
      <c r="K189" s="20" t="n">
        <v>119.07</v>
      </c>
      <c r="L189" s="20" t="n">
        <v>25.86</v>
      </c>
      <c r="M189" s="20" t="n">
        <v>0</v>
      </c>
      <c r="N189" s="20">
        <f>K189*0.08+L189*0.08</f>
        <v/>
      </c>
      <c r="O189" s="20">
        <f>-(K189*0.025+L189*0.025)</f>
        <v/>
      </c>
      <c r="P189" s="20">
        <f>32</f>
        <v/>
      </c>
      <c r="Q189" s="20">
        <f>J189+L189+N189+O189-P189-M189</f>
        <v/>
      </c>
    </row>
    <row r="190">
      <c r="A190" s="19" t="inlineStr">
        <is>
          <t>5.15-5.21</t>
        </is>
      </c>
      <c r="B190" s="19" t="inlineStr">
        <is>
          <t>PO-128-01438382587513299</t>
        </is>
      </c>
      <c r="C190" s="19" t="inlineStr">
        <is>
          <t>Delivered</t>
        </is>
      </c>
      <c r="D190" s="19" t="inlineStr">
        <is>
          <t>128-01438424530553299</t>
        </is>
      </c>
      <c r="E190" s="19" t="inlineStr">
        <is>
          <t>Delivered</t>
        </is>
      </c>
      <c r="F190" s="19" t="inlineStr">
        <is>
          <t>BS-01</t>
        </is>
      </c>
      <c r="G19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0" s="19" t="inlineStr">
        <is>
          <t>BS-01</t>
        </is>
      </c>
      <c r="I190" s="19" t="n">
        <v>1</v>
      </c>
      <c r="J190" s="20" t="n">
        <v>219</v>
      </c>
      <c r="K190" s="20" t="n">
        <v>257.6</v>
      </c>
      <c r="L190" s="20" t="n">
        <v>0</v>
      </c>
      <c r="M190" s="20" t="n">
        <v>0</v>
      </c>
      <c r="N190" s="20">
        <f>K190*0.08+L190*0.08</f>
        <v/>
      </c>
      <c r="O190" s="20">
        <f>-(K190*0.025+L190*0.025)</f>
        <v/>
      </c>
      <c r="P190" s="20">
        <f>32</f>
        <v/>
      </c>
      <c r="Q190" s="20">
        <f>J190+L190+N190+O190-P190-M190</f>
        <v/>
      </c>
    </row>
    <row r="191">
      <c r="A191" s="19" t="inlineStr">
        <is>
          <t>5.15-5.21</t>
        </is>
      </c>
      <c r="B191" s="19" t="inlineStr">
        <is>
          <t>PO-128-01438382587513299</t>
        </is>
      </c>
      <c r="C191" s="19" t="inlineStr">
        <is>
          <t>Delivered</t>
        </is>
      </c>
      <c r="D191" s="19" t="inlineStr">
        <is>
          <t>128-01438445502073299</t>
        </is>
      </c>
      <c r="E191" s="19" t="inlineStr">
        <is>
          <t>Delivered</t>
        </is>
      </c>
      <c r="F191" s="19" t="inlineStr">
        <is>
          <t>IE03CN</t>
        </is>
      </c>
      <c r="G191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91" s="19" t="inlineStr">
        <is>
          <t>NEGRO</t>
        </is>
      </c>
      <c r="I191" s="19" t="n">
        <v>1</v>
      </c>
      <c r="J191" s="20" t="n">
        <v>40</v>
      </c>
      <c r="K191" s="20" t="n">
        <v>49.58</v>
      </c>
      <c r="L191" s="20" t="n">
        <v>0</v>
      </c>
      <c r="M191" s="20" t="n">
        <v>0</v>
      </c>
      <c r="N191" s="20">
        <f>K191*0.08+L191*0.08</f>
        <v/>
      </c>
      <c r="O191" s="20">
        <f>-(K191*0.025+L191*0.025)</f>
        <v/>
      </c>
      <c r="P191" s="20">
        <f>32</f>
        <v/>
      </c>
      <c r="Q191" s="20">
        <f>J191+L191+N191+O191-P191-M191</f>
        <v/>
      </c>
    </row>
    <row r="192">
      <c r="A192" s="19" t="inlineStr">
        <is>
          <t>5.15-5.21</t>
        </is>
      </c>
      <c r="B192" s="19" t="inlineStr">
        <is>
          <t>PO-128-01576083169912348</t>
        </is>
      </c>
      <c r="C192" s="19" t="inlineStr">
        <is>
          <t>Delivered</t>
        </is>
      </c>
      <c r="D192" s="19" t="inlineStr">
        <is>
          <t>128-01576104141432348</t>
        </is>
      </c>
      <c r="E192" s="19" t="inlineStr">
        <is>
          <t>Delivered</t>
        </is>
      </c>
      <c r="F192" s="19" t="inlineStr">
        <is>
          <t>BS-01</t>
        </is>
      </c>
      <c r="G19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2" s="19" t="inlineStr">
        <is>
          <t>BS-01</t>
        </is>
      </c>
      <c r="I192" s="19" t="n">
        <v>1</v>
      </c>
      <c r="J192" s="20" t="n">
        <v>219</v>
      </c>
      <c r="K192" s="20" t="n">
        <v>257.6</v>
      </c>
      <c r="L192" s="20" t="n">
        <v>25.86</v>
      </c>
      <c r="M192" s="20" t="n">
        <v>4</v>
      </c>
      <c r="N192" s="20">
        <f>K192*0.08+L192*0.08</f>
        <v/>
      </c>
      <c r="O192" s="20">
        <f>-(K192*0.025+L192*0.025)</f>
        <v/>
      </c>
      <c r="P192" s="20">
        <f>32</f>
        <v/>
      </c>
      <c r="Q192" s="20">
        <f>J192+L192+N192+O192-P192-M192</f>
        <v/>
      </c>
    </row>
    <row r="193">
      <c r="A193" s="19" t="inlineStr">
        <is>
          <t>5.15-5.21</t>
        </is>
      </c>
      <c r="B193" s="19" t="inlineStr">
        <is>
          <t>PO-128-01680562565752750</t>
        </is>
      </c>
      <c r="C193" s="19" t="inlineStr">
        <is>
          <t>Delivered</t>
        </is>
      </c>
      <c r="D193" s="19" t="inlineStr">
        <is>
          <t>128-01680520622712750</t>
        </is>
      </c>
      <c r="E193" s="19" t="inlineStr">
        <is>
          <t>Delivered</t>
        </is>
      </c>
      <c r="F193" s="19" t="inlineStr">
        <is>
          <t>BS-01</t>
        </is>
      </c>
      <c r="G19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3" s="19" t="inlineStr">
        <is>
          <t>BS-01</t>
        </is>
      </c>
      <c r="I193" s="19" t="n">
        <v>1</v>
      </c>
      <c r="J193" s="20" t="n">
        <v>219</v>
      </c>
      <c r="K193" s="20" t="n">
        <v>257.6</v>
      </c>
      <c r="L193" s="20" t="n">
        <v>25.86</v>
      </c>
      <c r="M193" s="20" t="n">
        <v>0</v>
      </c>
      <c r="N193" s="20">
        <f>K193*0.08+L193*0.08</f>
        <v/>
      </c>
      <c r="O193" s="20">
        <f>-(K193*0.025+L193*0.025)</f>
        <v/>
      </c>
      <c r="P193" s="20">
        <f>32</f>
        <v/>
      </c>
      <c r="Q193" s="20">
        <f>J193+L193+N193+O193-P193-M193</f>
        <v/>
      </c>
    </row>
    <row r="194">
      <c r="A194" s="19" t="inlineStr">
        <is>
          <t>5.15-5.21</t>
        </is>
      </c>
      <c r="B194" s="19" t="inlineStr">
        <is>
          <t>PO-128-01480322898554073</t>
        </is>
      </c>
      <c r="C194" s="19" t="inlineStr">
        <is>
          <t>Delivered</t>
        </is>
      </c>
      <c r="D194" s="19" t="inlineStr">
        <is>
          <t>128-01480364841594073</t>
        </is>
      </c>
      <c r="E194" s="19" t="inlineStr">
        <is>
          <t>Delivered</t>
        </is>
      </c>
      <c r="F194" s="19" t="inlineStr">
        <is>
          <t>BS-01</t>
        </is>
      </c>
      <c r="G19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4" s="19" t="inlineStr">
        <is>
          <t>BS-01</t>
        </is>
      </c>
      <c r="I194" s="19" t="n">
        <v>1</v>
      </c>
      <c r="J194" s="20" t="n">
        <v>219</v>
      </c>
      <c r="K194" s="20" t="n">
        <v>257.6</v>
      </c>
      <c r="L194" s="20" t="n">
        <v>25.86</v>
      </c>
      <c r="M194" s="20" t="n">
        <v>0</v>
      </c>
      <c r="N194" s="20">
        <f>K194*0.08+L194*0.08</f>
        <v/>
      </c>
      <c r="O194" s="20">
        <f>-(K194*0.025+L194*0.025)</f>
        <v/>
      </c>
      <c r="P194" s="20">
        <f>32</f>
        <v/>
      </c>
      <c r="Q194" s="20">
        <f>J194+L194+N194+O194-P194-M194</f>
        <v/>
      </c>
    </row>
    <row r="195">
      <c r="A195" s="19" t="inlineStr">
        <is>
          <t>5.15-5.21</t>
        </is>
      </c>
      <c r="B195" s="19" t="inlineStr">
        <is>
          <t>PO-128-01928566436470377</t>
        </is>
      </c>
      <c r="C195" s="19" t="inlineStr">
        <is>
          <t>Delivered</t>
        </is>
      </c>
      <c r="D195" s="19" t="inlineStr">
        <is>
          <t>128-01928671294070377</t>
        </is>
      </c>
      <c r="E195" s="19" t="inlineStr">
        <is>
          <t>Delivered</t>
        </is>
      </c>
      <c r="F195" s="19" t="inlineStr">
        <is>
          <t>S-10302</t>
        </is>
      </c>
      <c r="G195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195" s="19" t="inlineStr">
        <is>
          <t>s-10302</t>
        </is>
      </c>
      <c r="I195" s="19" t="n">
        <v>1</v>
      </c>
      <c r="J195" s="20" t="n">
        <v>65</v>
      </c>
      <c r="K195" s="20" t="n">
        <v>65.34999999999999</v>
      </c>
      <c r="L195" s="20" t="n">
        <v>25.86</v>
      </c>
      <c r="M195" s="20" t="n">
        <v>0</v>
      </c>
      <c r="N195" s="20">
        <f>K195*0.08+L195*0.08</f>
        <v/>
      </c>
      <c r="O195" s="20">
        <f>-(K195*0.025+L195*0.025)</f>
        <v/>
      </c>
      <c r="P195" s="20">
        <f>32</f>
        <v/>
      </c>
      <c r="Q195" s="20">
        <f>J195+L195+N195+O195-P195-M195</f>
        <v/>
      </c>
    </row>
    <row r="196">
      <c r="A196" s="19" t="inlineStr">
        <is>
          <t>5.15-5.21</t>
        </is>
      </c>
      <c r="B196" s="19" t="inlineStr">
        <is>
          <t>PO-128-01657039022712826</t>
        </is>
      </c>
      <c r="C196" s="19" t="inlineStr">
        <is>
          <t>Delivered</t>
        </is>
      </c>
      <c r="D196" s="19" t="inlineStr">
        <is>
          <t>128-01657059994232826</t>
        </is>
      </c>
      <c r="E196" s="19" t="inlineStr">
        <is>
          <t>Delivered</t>
        </is>
      </c>
      <c r="F196" s="19" t="inlineStr">
        <is>
          <t>BS-01</t>
        </is>
      </c>
      <c r="G19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6" s="19" t="inlineStr">
        <is>
          <t>BS-01</t>
        </is>
      </c>
      <c r="I196" s="19" t="n">
        <v>1</v>
      </c>
      <c r="J196" s="20" t="n">
        <v>219</v>
      </c>
      <c r="K196" s="20" t="n">
        <v>206.09</v>
      </c>
      <c r="L196" s="20" t="n">
        <v>25.86</v>
      </c>
      <c r="M196" s="20" t="n">
        <v>0</v>
      </c>
      <c r="N196" s="20">
        <f>K196*0.08+L196*0.08</f>
        <v/>
      </c>
      <c r="O196" s="20">
        <f>-(K196*0.025+L196*0.025)</f>
        <v/>
      </c>
      <c r="P196" s="20">
        <f>32</f>
        <v/>
      </c>
      <c r="Q196" s="20">
        <f>J196+L196+N196+O196-P196-M196</f>
        <v/>
      </c>
    </row>
    <row r="197">
      <c r="A197" s="19" t="inlineStr">
        <is>
          <t>5.15-5.21</t>
        </is>
      </c>
      <c r="B197" s="19" t="inlineStr">
        <is>
          <t>PO-128-01999960463990782</t>
        </is>
      </c>
      <c r="C197" s="19" t="inlineStr">
        <is>
          <t>Delivered</t>
        </is>
      </c>
      <c r="D197" s="19" t="inlineStr">
        <is>
          <t>128-01999981435510782</t>
        </is>
      </c>
      <c r="E197" s="19" t="inlineStr">
        <is>
          <t>Delivered</t>
        </is>
      </c>
      <c r="F197" s="19" t="inlineStr">
        <is>
          <t>BS-01</t>
        </is>
      </c>
      <c r="G19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7" s="19" t="inlineStr">
        <is>
          <t>BS-01</t>
        </is>
      </c>
      <c r="I197" s="19" t="n">
        <v>1</v>
      </c>
      <c r="J197" s="20" t="n">
        <v>219</v>
      </c>
      <c r="K197" s="20" t="n">
        <v>205.89</v>
      </c>
      <c r="L197" s="20" t="n">
        <v>25.86</v>
      </c>
      <c r="M197" s="20" t="n">
        <v>3.2</v>
      </c>
      <c r="N197" s="20">
        <f>K197*0.08+L197*0.08</f>
        <v/>
      </c>
      <c r="O197" s="20">
        <f>-(K197*0.025+L197*0.025)</f>
        <v/>
      </c>
      <c r="P197" s="20">
        <f>32</f>
        <v/>
      </c>
      <c r="Q197" s="20">
        <f>J197+L197+N197+O197-P197-M197</f>
        <v/>
      </c>
    </row>
    <row r="198">
      <c r="A198" s="19" t="inlineStr">
        <is>
          <t>5.15-5.21</t>
        </is>
      </c>
      <c r="B198" s="19" t="inlineStr">
        <is>
          <t>PO-128-20942456218232564</t>
        </is>
      </c>
      <c r="C198" s="19" t="inlineStr">
        <is>
          <t>Delivered</t>
        </is>
      </c>
      <c r="D198" s="19" t="inlineStr">
        <is>
          <t>128-20942414275192564</t>
        </is>
      </c>
      <c r="E198" s="19" t="inlineStr">
        <is>
          <t>Delivered</t>
        </is>
      </c>
      <c r="F198" s="19" t="inlineStr">
        <is>
          <t>BS-09</t>
        </is>
      </c>
      <c r="G198" s="19" t="inlineStr">
        <is>
          <t>Altavoz de barra para PC con iluminación RGB, sonido de alta fidelidad y múltiples conexiones: Bluetooth, radio FM, USB, TF, AUX y TWS. Ideal para juegos, reuniones y cine en casa.</t>
        </is>
      </c>
      <c r="H198" s="19" t="inlineStr">
        <is>
          <t>NEGRO</t>
        </is>
      </c>
      <c r="I198" s="19" t="n">
        <v>1</v>
      </c>
      <c r="J198" s="20" t="n">
        <v>117.99</v>
      </c>
      <c r="K198" s="20" t="n">
        <v>146.38</v>
      </c>
      <c r="L198" s="20" t="n">
        <v>25.86</v>
      </c>
      <c r="M198" s="20" t="n">
        <v>0</v>
      </c>
      <c r="N198" s="20">
        <f>K198*0.08+L198*0.08</f>
        <v/>
      </c>
      <c r="O198" s="20">
        <f>-(K198*0.025+L198*0.025)</f>
        <v/>
      </c>
      <c r="P198" s="20">
        <f>32</f>
        <v/>
      </c>
      <c r="Q198" s="20">
        <f>J198+L198+N198+O198-P198-M198</f>
        <v/>
      </c>
    </row>
    <row r="199">
      <c r="A199" s="19" t="inlineStr">
        <is>
          <t>5.15-5.21</t>
        </is>
      </c>
      <c r="B199" s="19" t="inlineStr">
        <is>
          <t>PO-128-09985153966711506</t>
        </is>
      </c>
      <c r="C199" s="19" t="inlineStr">
        <is>
          <t>Delivered</t>
        </is>
      </c>
      <c r="D199" s="19" t="inlineStr">
        <is>
          <t>128-09985258824311506</t>
        </is>
      </c>
      <c r="E199" s="19" t="inlineStr">
        <is>
          <t>Delivered</t>
        </is>
      </c>
      <c r="F199" s="19" t="inlineStr">
        <is>
          <t>BS-01</t>
        </is>
      </c>
      <c r="G19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9" s="19" t="inlineStr">
        <is>
          <t>BS-01</t>
        </is>
      </c>
      <c r="I199" s="19" t="n">
        <v>2</v>
      </c>
      <c r="J199" s="20" t="n">
        <v>438</v>
      </c>
      <c r="K199" s="20" t="n">
        <v>450.82</v>
      </c>
      <c r="L199" s="20" t="n">
        <v>0</v>
      </c>
      <c r="M199" s="20" t="n">
        <v>7.02</v>
      </c>
      <c r="N199" s="20">
        <f>K199*0.08+L199*0.08</f>
        <v/>
      </c>
      <c r="O199" s="20">
        <f>-(K199*0.025+L199*0.025)</f>
        <v/>
      </c>
      <c r="P199" s="20">
        <f>32</f>
        <v/>
      </c>
      <c r="Q199" s="20">
        <f>J199+L199+N199+O199-P199-M199</f>
        <v/>
      </c>
    </row>
    <row r="200">
      <c r="A200" s="19" t="inlineStr">
        <is>
          <t>5.22-5.28</t>
        </is>
      </c>
      <c r="B200" s="19" t="inlineStr">
        <is>
          <t>PO-128-10551825152632099</t>
        </is>
      </c>
      <c r="C200" s="19" t="inlineStr">
        <is>
          <t>Shipped</t>
        </is>
      </c>
      <c r="D200" s="19" t="inlineStr">
        <is>
          <t>128-10551783209592099</t>
        </is>
      </c>
      <c r="E200" s="19" t="inlineStr">
        <is>
          <t>Shipped</t>
        </is>
      </c>
      <c r="F200" s="19" t="inlineStr">
        <is>
          <t>S-10302</t>
        </is>
      </c>
      <c r="G200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200" s="19" t="inlineStr">
        <is>
          <t>s-10302</t>
        </is>
      </c>
      <c r="I200" s="19" t="n">
        <v>1</v>
      </c>
      <c r="J200" s="20" t="n">
        <v>65</v>
      </c>
      <c r="K200" s="20" t="n">
        <v>76.90000000000001</v>
      </c>
      <c r="L200" s="20" t="n">
        <v>25.86</v>
      </c>
      <c r="M200" s="20" t="n">
        <v>0</v>
      </c>
      <c r="N200" s="20">
        <f>K200*0.08+L200*0.08</f>
        <v/>
      </c>
      <c r="O200" s="20">
        <f>-(K200*0.025+L200*0.025)</f>
        <v/>
      </c>
      <c r="P200" s="20">
        <f>32</f>
        <v/>
      </c>
      <c r="Q200" s="20">
        <f>J200+L200+N200+O200-P200-M200</f>
        <v/>
      </c>
    </row>
    <row r="201">
      <c r="A201" s="19" t="inlineStr">
        <is>
          <t>5.22-5.28</t>
        </is>
      </c>
      <c r="B201" s="19" t="inlineStr">
        <is>
          <t>PO-128-10547645266552058</t>
        </is>
      </c>
      <c r="C201" s="19" t="inlineStr">
        <is>
          <t>Shipped</t>
        </is>
      </c>
      <c r="D201" s="19" t="inlineStr">
        <is>
          <t>128-10547655752312058</t>
        </is>
      </c>
      <c r="E201" s="19" t="inlineStr">
        <is>
          <t>Shipped</t>
        </is>
      </c>
      <c r="F201" s="19" t="inlineStr">
        <is>
          <t>BS-01</t>
        </is>
      </c>
      <c r="G20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1" s="19" t="inlineStr">
        <is>
          <t>BS-01</t>
        </is>
      </c>
      <c r="I201" s="19" t="n">
        <v>1</v>
      </c>
      <c r="J201" s="20" t="n">
        <v>219</v>
      </c>
      <c r="K201" s="20" t="n">
        <v>206.08</v>
      </c>
      <c r="L201" s="20" t="n">
        <v>25.86</v>
      </c>
      <c r="M201" s="20" t="n">
        <v>0</v>
      </c>
      <c r="N201" s="20">
        <f>K201*0.08+L201*0.08</f>
        <v/>
      </c>
      <c r="O201" s="20">
        <f>-(K201*0.025+L201*0.025)</f>
        <v/>
      </c>
      <c r="P201" s="20">
        <f>32</f>
        <v/>
      </c>
      <c r="Q201" s="20">
        <f>J201+L201+N201+O201-P201-M201</f>
        <v/>
      </c>
    </row>
    <row r="202">
      <c r="A202" s="19" t="inlineStr">
        <is>
          <t>5.22-5.28</t>
        </is>
      </c>
      <c r="B202" s="19" t="inlineStr">
        <is>
          <t>PO-128-10774527263351859</t>
        </is>
      </c>
      <c r="C202" s="19" t="inlineStr">
        <is>
          <t>Shipped</t>
        </is>
      </c>
      <c r="D202" s="19" t="inlineStr">
        <is>
          <t>128-10774632120951859</t>
        </is>
      </c>
      <c r="E202" s="19" t="inlineStr">
        <is>
          <t>Shipped</t>
        </is>
      </c>
      <c r="F202" s="19" t="inlineStr">
        <is>
          <t>S-10302</t>
        </is>
      </c>
      <c r="G202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202" s="19" t="inlineStr">
        <is>
          <t>s-10302</t>
        </is>
      </c>
      <c r="I202" s="19" t="n">
        <v>1</v>
      </c>
      <c r="J202" s="20" t="n">
        <v>65</v>
      </c>
      <c r="K202" s="20" t="n">
        <v>76.90000000000001</v>
      </c>
      <c r="L202" s="20" t="n">
        <v>25.86</v>
      </c>
      <c r="M202" s="20" t="n">
        <v>0</v>
      </c>
      <c r="N202" s="20">
        <f>K202*0.08+L202*0.08</f>
        <v/>
      </c>
      <c r="O202" s="20">
        <f>-(K202*0.025+L202*0.025)</f>
        <v/>
      </c>
      <c r="P202" s="20">
        <f>32</f>
        <v/>
      </c>
      <c r="Q202" s="20">
        <f>J202+L202+N202+O202-P202-M202</f>
        <v/>
      </c>
    </row>
    <row r="203">
      <c r="A203" s="19" t="inlineStr">
        <is>
          <t>5.22-5.28</t>
        </is>
      </c>
      <c r="B203" s="19" t="inlineStr">
        <is>
          <t>PO-128-10565371484792144</t>
        </is>
      </c>
      <c r="C203" s="19" t="inlineStr">
        <is>
          <t>Shipped</t>
        </is>
      </c>
      <c r="D203" s="19" t="inlineStr">
        <is>
          <t>128-10565447506552144</t>
        </is>
      </c>
      <c r="E203" s="19" t="inlineStr">
        <is>
          <t>Shipped</t>
        </is>
      </c>
      <c r="F203" s="19" t="inlineStr">
        <is>
          <t>BS-09</t>
        </is>
      </c>
      <c r="G203" s="19" t="inlineStr">
        <is>
          <t>Altavoz de barra para PC con iluminación RGB, sonido de alta fidelidad y múltiples conexiones: Bluetooth, radio FM, USB, TF, AUX y TWS. Ideal para juegos, reuniones y cine en casa.</t>
        </is>
      </c>
      <c r="H203" s="19" t="inlineStr">
        <is>
          <t>NEGRO</t>
        </is>
      </c>
      <c r="I203" s="19" t="n">
        <v>1</v>
      </c>
      <c r="J203" s="20" t="n">
        <v>117.99</v>
      </c>
      <c r="K203" s="20" t="n">
        <v>146.36</v>
      </c>
      <c r="L203" s="20" t="n">
        <v>25.86</v>
      </c>
      <c r="M203" s="20" t="n">
        <v>0</v>
      </c>
      <c r="N203" s="20">
        <f>K203*0.08+L203*0.08</f>
        <v/>
      </c>
      <c r="O203" s="20">
        <f>-(K203*0.025+L203*0.025)</f>
        <v/>
      </c>
      <c r="P203" s="20">
        <f>32</f>
        <v/>
      </c>
      <c r="Q203" s="20">
        <f>J203+L203+N203+O203-P203-M203</f>
        <v/>
      </c>
    </row>
    <row r="204">
      <c r="A204" s="19" t="inlineStr">
        <is>
          <t>5.22-5.28</t>
        </is>
      </c>
      <c r="B204" s="19" t="inlineStr">
        <is>
          <t>PO-128-10781670646391689</t>
        </is>
      </c>
      <c r="C204" s="19" t="inlineStr">
        <is>
          <t>Shipped</t>
        </is>
      </c>
      <c r="D204" s="19" t="inlineStr">
        <is>
          <t>128-10781628703351689</t>
        </is>
      </c>
      <c r="E204" s="19" t="inlineStr">
        <is>
          <t>Shipped</t>
        </is>
      </c>
      <c r="F204" s="19" t="inlineStr">
        <is>
          <t>BS-01</t>
        </is>
      </c>
      <c r="G20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4" s="19" t="inlineStr">
        <is>
          <t>BS-01</t>
        </is>
      </c>
      <c r="I204" s="19" t="n">
        <v>1</v>
      </c>
      <c r="J204" s="20" t="n">
        <v>219</v>
      </c>
      <c r="K204" s="20" t="n">
        <v>218.96</v>
      </c>
      <c r="L204" s="20" t="n">
        <v>25.86</v>
      </c>
      <c r="M204" s="20" t="n">
        <v>0</v>
      </c>
      <c r="N204" s="20">
        <f>K204*0.08+L204*0.08</f>
        <v/>
      </c>
      <c r="O204" s="20">
        <f>-(K204*0.025+L204*0.025)</f>
        <v/>
      </c>
      <c r="P204" s="20">
        <f>32</f>
        <v/>
      </c>
      <c r="Q204" s="20">
        <f>J204+L204+N204+O204-P204-M204</f>
        <v/>
      </c>
    </row>
    <row r="205">
      <c r="A205" s="19" t="inlineStr">
        <is>
          <t>5.22-5.28</t>
        </is>
      </c>
      <c r="B205" s="19" t="inlineStr">
        <is>
          <t>PO-128-10827457772150390</t>
        </is>
      </c>
      <c r="C205" s="19" t="inlineStr">
        <is>
          <t>Shipped</t>
        </is>
      </c>
      <c r="D205" s="19" t="inlineStr">
        <is>
          <t>128-10827478743670390</t>
        </is>
      </c>
      <c r="E205" s="19" t="inlineStr">
        <is>
          <t>Shipped</t>
        </is>
      </c>
      <c r="F205" s="19" t="inlineStr">
        <is>
          <t>BS-01</t>
        </is>
      </c>
      <c r="G20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5" s="19" t="inlineStr">
        <is>
          <t>BS-01</t>
        </is>
      </c>
      <c r="I205" s="19" t="n">
        <v>2</v>
      </c>
      <c r="J205" s="20" t="n">
        <v>438</v>
      </c>
      <c r="K205" s="20" t="n">
        <v>24.02</v>
      </c>
      <c r="L205" s="20" t="n">
        <v>0</v>
      </c>
      <c r="M205" s="20" t="n">
        <v>0</v>
      </c>
      <c r="N205" s="20">
        <f>K205*0.08+L205*0.08</f>
        <v/>
      </c>
      <c r="O205" s="20">
        <f>-(K205*0.025+L205*0.025)</f>
        <v/>
      </c>
      <c r="P205" s="20">
        <f>32</f>
        <v/>
      </c>
      <c r="Q205" s="20">
        <f>J205+L205+N205+O205-P205-M205</f>
        <v/>
      </c>
    </row>
    <row r="206">
      <c r="A206" s="19" t="inlineStr">
        <is>
          <t>5.22-5.28</t>
        </is>
      </c>
      <c r="B206" s="19" t="inlineStr">
        <is>
          <t>PO-128-15844642734713447</t>
        </is>
      </c>
      <c r="C206" s="19" t="inlineStr">
        <is>
          <t>Shipped</t>
        </is>
      </c>
      <c r="D206" s="19" t="inlineStr">
        <is>
          <t>128-15844621763193447</t>
        </is>
      </c>
      <c r="E206" s="19" t="inlineStr">
        <is>
          <t>Shipped</t>
        </is>
      </c>
      <c r="F206" s="19" t="inlineStr">
        <is>
          <t>BS-01</t>
        </is>
      </c>
      <c r="G20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6" s="19" t="inlineStr">
        <is>
          <t>BS-01</t>
        </is>
      </c>
      <c r="I206" s="19" t="n">
        <v>1</v>
      </c>
      <c r="J206" s="20" t="n">
        <v>219</v>
      </c>
      <c r="K206" s="20" t="n">
        <v>257.6</v>
      </c>
      <c r="L206" s="20" t="n">
        <v>25.86</v>
      </c>
      <c r="M206" s="20" t="n">
        <v>0</v>
      </c>
      <c r="N206" s="20">
        <f>K206*0.08+L206*0.08</f>
        <v/>
      </c>
      <c r="O206" s="20">
        <f>-(K206*0.025+L206*0.025)</f>
        <v/>
      </c>
      <c r="P206" s="20">
        <f>32</f>
        <v/>
      </c>
      <c r="Q206" s="20">
        <f>J206+L206+N206+O206-P206-M206</f>
        <v/>
      </c>
    </row>
    <row r="207">
      <c r="A207" s="19" t="inlineStr">
        <is>
          <t>5.22-5.28</t>
        </is>
      </c>
      <c r="B207" s="19" t="inlineStr">
        <is>
          <t>PO-128-16207430144631221</t>
        </is>
      </c>
      <c r="C207" s="19" t="inlineStr">
        <is>
          <t>Shipped</t>
        </is>
      </c>
      <c r="D207" s="19" t="inlineStr">
        <is>
          <t>128-16207456359031221</t>
        </is>
      </c>
      <c r="E207" s="19" t="inlineStr">
        <is>
          <t>Shipped</t>
        </is>
      </c>
      <c r="F207" s="19" t="inlineStr">
        <is>
          <t>IE01MB</t>
        </is>
      </c>
      <c r="G207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07" s="19" t="inlineStr">
        <is>
          <t>1 pieza</t>
        </is>
      </c>
      <c r="I207" s="19" t="n">
        <v>1</v>
      </c>
      <c r="J207" s="20" t="n">
        <v>22</v>
      </c>
      <c r="K207" s="20" t="n">
        <v>27.89</v>
      </c>
      <c r="L207" s="20" t="n">
        <v>25.86</v>
      </c>
      <c r="M207" s="20" t="n">
        <v>0</v>
      </c>
      <c r="N207" s="20">
        <f>K207*0.08+L207*0.08</f>
        <v/>
      </c>
      <c r="O207" s="20">
        <f>-(K207*0.025+L207*0.025)</f>
        <v/>
      </c>
      <c r="P207" s="20">
        <f>32</f>
        <v/>
      </c>
      <c r="Q207" s="20">
        <f>J207+L207+N207+O207-P207-M207</f>
        <v/>
      </c>
    </row>
    <row r="208">
      <c r="A208" s="19" t="inlineStr">
        <is>
          <t>5.22-5.28</t>
        </is>
      </c>
      <c r="B208" s="19" t="inlineStr">
        <is>
          <t>PO-128-16227068037751102</t>
        </is>
      </c>
      <c r="C208" s="19" t="inlineStr">
        <is>
          <t>Shipped</t>
        </is>
      </c>
      <c r="D208" s="19" t="inlineStr">
        <is>
          <t>128-16227026094711102</t>
        </is>
      </c>
      <c r="E208" s="19" t="inlineStr">
        <is>
          <t>Shipped</t>
        </is>
      </c>
      <c r="F208" s="19" t="inlineStr">
        <is>
          <t>IE01MB</t>
        </is>
      </c>
      <c r="G208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08" s="19" t="inlineStr">
        <is>
          <t>1 pieza</t>
        </is>
      </c>
      <c r="I208" s="19" t="n">
        <v>1</v>
      </c>
      <c r="J208" s="20" t="n">
        <v>22</v>
      </c>
      <c r="K208" s="20" t="n">
        <v>27.89</v>
      </c>
      <c r="L208" s="20" t="n">
        <v>0</v>
      </c>
      <c r="M208" s="20" t="n">
        <v>0</v>
      </c>
      <c r="N208" s="20">
        <f>K208*0.08+L208*0.08</f>
        <v/>
      </c>
      <c r="O208" s="20">
        <f>-(K208*0.025+L208*0.025)</f>
        <v/>
      </c>
      <c r="P208" s="20">
        <f>32</f>
        <v/>
      </c>
      <c r="Q208" s="20">
        <f>J208+L208+N208+O208-P208-M208</f>
        <v/>
      </c>
    </row>
    <row r="209">
      <c r="A209" s="19" t="inlineStr">
        <is>
          <t>5.22-5.28</t>
        </is>
      </c>
      <c r="B209" s="19" t="inlineStr">
        <is>
          <t>PO-128-16227068037751102</t>
        </is>
      </c>
      <c r="C209" s="19" t="inlineStr">
        <is>
          <t>Shipped</t>
        </is>
      </c>
      <c r="D209" s="19" t="inlineStr">
        <is>
          <t>128-16226984151671102</t>
        </is>
      </c>
      <c r="E209" s="19" t="inlineStr">
        <is>
          <t>Shipped</t>
        </is>
      </c>
      <c r="F209" s="19" t="inlineStr">
        <is>
          <t>BS-01</t>
        </is>
      </c>
      <c r="G20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9" s="19" t="inlineStr">
        <is>
          <t>BS-01</t>
        </is>
      </c>
      <c r="I209" s="19" t="n">
        <v>1</v>
      </c>
      <c r="J209" s="20" t="n">
        <v>219</v>
      </c>
      <c r="K209" s="20" t="n">
        <v>257.6</v>
      </c>
      <c r="L209" s="20" t="n">
        <v>0</v>
      </c>
      <c r="M209" s="20" t="n">
        <v>0</v>
      </c>
      <c r="N209" s="20">
        <f>K209*0.08+L209*0.08</f>
        <v/>
      </c>
      <c r="O209" s="20">
        <f>-(K209*0.025+L209*0.025)</f>
        <v/>
      </c>
      <c r="P209" s="20">
        <f>32</f>
        <v/>
      </c>
      <c r="Q209" s="20">
        <f>J209+L209+N209+O209-P209-M209</f>
        <v/>
      </c>
    </row>
    <row r="210">
      <c r="A210" s="19" t="inlineStr">
        <is>
          <t>5.22-5.28</t>
        </is>
      </c>
      <c r="B210" s="19" t="inlineStr">
        <is>
          <t>PO-128-15910908662394074</t>
        </is>
      </c>
      <c r="C210" s="19" t="inlineStr">
        <is>
          <t>Shipped</t>
        </is>
      </c>
      <c r="D210" s="19" t="inlineStr">
        <is>
          <t>128-15910887690874074</t>
        </is>
      </c>
      <c r="E210" s="19" t="inlineStr">
        <is>
          <t>Shipped</t>
        </is>
      </c>
      <c r="F210" s="19" t="inlineStr">
        <is>
          <t>BS-01</t>
        </is>
      </c>
      <c r="G21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0" s="19" t="inlineStr">
        <is>
          <t>BS-01</t>
        </is>
      </c>
      <c r="I210" s="19" t="n">
        <v>1</v>
      </c>
      <c r="J210" s="20" t="n">
        <v>219</v>
      </c>
      <c r="K210" s="20" t="n">
        <v>227.43</v>
      </c>
      <c r="L210" s="20" t="n">
        <v>25.86</v>
      </c>
      <c r="M210" s="20" t="n">
        <v>0</v>
      </c>
      <c r="N210" s="20">
        <f>K210*0.08+L210*0.08</f>
        <v/>
      </c>
      <c r="O210" s="20">
        <f>-(K210*0.025+L210*0.025)</f>
        <v/>
      </c>
      <c r="P210" s="20">
        <f>32</f>
        <v/>
      </c>
      <c r="Q210" s="20">
        <f>J210+L210+N210+O210-P210-M210</f>
        <v/>
      </c>
    </row>
    <row r="211">
      <c r="A211" s="19" t="inlineStr">
        <is>
          <t>5.22-5.28</t>
        </is>
      </c>
      <c r="B211" s="19" t="inlineStr">
        <is>
          <t>PO-128-16102942270072931</t>
        </is>
      </c>
      <c r="C211" s="19" t="inlineStr">
        <is>
          <t>Shipped</t>
        </is>
      </c>
      <c r="D211" s="19" t="inlineStr">
        <is>
          <t>128-16102969795192931</t>
        </is>
      </c>
      <c r="E211" s="19" t="inlineStr">
        <is>
          <t>Shipped</t>
        </is>
      </c>
      <c r="F211" s="19" t="inlineStr">
        <is>
          <t>BS-01</t>
        </is>
      </c>
      <c r="G21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1" s="19" t="inlineStr">
        <is>
          <t>BS-01</t>
        </is>
      </c>
      <c r="I211" s="19" t="n">
        <v>1</v>
      </c>
      <c r="J211" s="20" t="n">
        <v>219</v>
      </c>
      <c r="K211" s="20" t="n">
        <v>257.6</v>
      </c>
      <c r="L211" s="20" t="n">
        <v>25.86</v>
      </c>
      <c r="M211" s="20" t="n">
        <v>0</v>
      </c>
      <c r="N211" s="20">
        <f>K211*0.08+L211*0.08</f>
        <v/>
      </c>
      <c r="O211" s="20">
        <f>-(K211*0.025+L211*0.025)</f>
        <v/>
      </c>
      <c r="P211" s="20">
        <f>32</f>
        <v/>
      </c>
      <c r="Q211" s="20">
        <f>J211+L211+N211+O211-P211-M211</f>
        <v/>
      </c>
    </row>
    <row r="212">
      <c r="A212" s="19" t="inlineStr">
        <is>
          <t>5.22-5.28</t>
        </is>
      </c>
      <c r="B212" s="19" t="inlineStr">
        <is>
          <t>PO-128-16151511972471424</t>
        </is>
      </c>
      <c r="C212" s="19" t="inlineStr">
        <is>
          <t>Shipped</t>
        </is>
      </c>
      <c r="D212" s="19" t="inlineStr">
        <is>
          <t>128-16151591926391424</t>
        </is>
      </c>
      <c r="E212" s="19" t="inlineStr">
        <is>
          <t>Shipped</t>
        </is>
      </c>
      <c r="F212" s="19" t="inlineStr">
        <is>
          <t>BS-09</t>
        </is>
      </c>
      <c r="G212" s="19" t="inlineStr">
        <is>
          <t>Altavoz de barra para PC con iluminación RGB, sonido de alta fidelidad y múltiples conexiones: Bluetooth, radio FM, USB, TF, AUX y TWS. Ideal para juegos, reuniones y cine en casa.</t>
        </is>
      </c>
      <c r="H212" s="19" t="inlineStr">
        <is>
          <t>NEGRO</t>
        </is>
      </c>
      <c r="I212" s="19" t="n">
        <v>2</v>
      </c>
      <c r="J212" s="20" t="n">
        <v>235.98</v>
      </c>
      <c r="K212" s="20" t="n">
        <v>292.72</v>
      </c>
      <c r="L212" s="20" t="n">
        <v>0</v>
      </c>
      <c r="M212" s="20" t="n">
        <v>0</v>
      </c>
      <c r="N212" s="20">
        <f>K212*0.08+L212*0.08</f>
        <v/>
      </c>
      <c r="O212" s="20">
        <f>-(K212*0.025+L212*0.025)</f>
        <v/>
      </c>
      <c r="P212" s="20">
        <f>32</f>
        <v/>
      </c>
      <c r="Q212" s="20">
        <f>J212+L212+N212+O212-P212-M212</f>
        <v/>
      </c>
    </row>
    <row r="213">
      <c r="A213" s="19" t="inlineStr">
        <is>
          <t>5.22-5.28</t>
        </is>
      </c>
      <c r="B213" s="19" t="inlineStr">
        <is>
          <t>PO-128-16424833495671013</t>
        </is>
      </c>
      <c r="C213" s="19" t="inlineStr">
        <is>
          <t>Shipped</t>
        </is>
      </c>
      <c r="D213" s="19" t="inlineStr">
        <is>
          <t>128-16424854467191013</t>
        </is>
      </c>
      <c r="E213" s="19" t="inlineStr">
        <is>
          <t>Shipped</t>
        </is>
      </c>
      <c r="F213" s="19" t="inlineStr">
        <is>
          <t>BS-07V</t>
        </is>
      </c>
      <c r="G213" s="19" t="inlineStr">
        <is>
          <t>Altavoz Inalámbrico Portátil con Diseño Retro, Bajos Optimizados y Sonido 3D Envolvente,Compatible con TF/FM/AUX, Conexión BT TWS. Ideal para Home Theater, Fiestas y Regalos​</t>
        </is>
      </c>
      <c r="H213" s="19" t="inlineStr">
        <is>
          <t>BS-07V</t>
        </is>
      </c>
      <c r="I213" s="19" t="n">
        <v>1</v>
      </c>
      <c r="J213" s="20" t="n">
        <v>135</v>
      </c>
      <c r="K213" s="20" t="n">
        <v>153.68</v>
      </c>
      <c r="L213" s="20" t="n">
        <v>25.86</v>
      </c>
      <c r="M213" s="20" t="n">
        <v>0</v>
      </c>
      <c r="N213" s="20">
        <f>K213*0.08+L213*0.08</f>
        <v/>
      </c>
      <c r="O213" s="20">
        <f>-(K213*0.025+L213*0.025)</f>
        <v/>
      </c>
      <c r="P213" s="20">
        <f>32</f>
        <v/>
      </c>
      <c r="Q213" s="20">
        <f>J213+L213+N213+O213-P213-M213</f>
        <v/>
      </c>
    </row>
    <row r="214">
      <c r="A214" s="19" t="inlineStr">
        <is>
          <t>5.22-5.28</t>
        </is>
      </c>
      <c r="B214" s="19" t="inlineStr">
        <is>
          <t>PO-128-16092667535992865</t>
        </is>
      </c>
      <c r="C214" s="19" t="inlineStr">
        <is>
          <t>Shipped</t>
        </is>
      </c>
      <c r="D214" s="19" t="inlineStr">
        <is>
          <t>128-16092625592952865</t>
        </is>
      </c>
      <c r="E214" s="19" t="inlineStr">
        <is>
          <t>Shipped</t>
        </is>
      </c>
      <c r="F214" s="19" t="inlineStr">
        <is>
          <t>BS-01</t>
        </is>
      </c>
      <c r="G21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4" s="19" t="inlineStr">
        <is>
          <t>BS-01</t>
        </is>
      </c>
      <c r="I214" s="19" t="n">
        <v>1</v>
      </c>
      <c r="J214" s="20" t="n">
        <v>219</v>
      </c>
      <c r="K214" s="20" t="n">
        <v>257.6</v>
      </c>
      <c r="L214" s="20" t="n">
        <v>25.86</v>
      </c>
      <c r="M214" s="20" t="n">
        <v>0</v>
      </c>
      <c r="N214" s="20">
        <f>K214*0.08+L214*0.08</f>
        <v/>
      </c>
      <c r="O214" s="20">
        <f>-(K214*0.025+L214*0.025)</f>
        <v/>
      </c>
      <c r="P214" s="20">
        <f>32</f>
        <v/>
      </c>
      <c r="Q214" s="20">
        <f>J214+L214+N214+O214-P214-M214</f>
        <v/>
      </c>
    </row>
    <row r="215">
      <c r="A215" s="19" t="inlineStr">
        <is>
          <t>5.22-5.28</t>
        </is>
      </c>
      <c r="B215" s="19" t="inlineStr">
        <is>
          <t>PO-128-05290013028471716</t>
        </is>
      </c>
      <c r="C215" s="19" t="inlineStr">
        <is>
          <t>Shipped</t>
        </is>
      </c>
      <c r="D215" s="19" t="inlineStr">
        <is>
          <t>128-05289971085431716</t>
        </is>
      </c>
      <c r="E215" s="19" t="inlineStr">
        <is>
          <t>Shipped</t>
        </is>
      </c>
      <c r="F215" s="19" t="inlineStr">
        <is>
          <t>BS-01</t>
        </is>
      </c>
      <c r="G21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5" s="19" t="inlineStr">
        <is>
          <t>BS-01</t>
        </is>
      </c>
      <c r="I215" s="19" t="n">
        <v>1</v>
      </c>
      <c r="J215" s="20" t="n">
        <v>219</v>
      </c>
      <c r="K215" s="20" t="n">
        <v>257.6</v>
      </c>
      <c r="L215" s="20" t="n">
        <v>25.86</v>
      </c>
      <c r="M215" s="20" t="n">
        <v>0</v>
      </c>
      <c r="N215" s="20">
        <f>K215*0.08+L215*0.08</f>
        <v/>
      </c>
      <c r="O215" s="20">
        <f>-(K215*0.025+L215*0.025)</f>
        <v/>
      </c>
      <c r="P215" s="20">
        <f>32</f>
        <v/>
      </c>
      <c r="Q215" s="20">
        <f>J215+L215+N215+O215-P215-M215</f>
        <v/>
      </c>
    </row>
    <row r="216">
      <c r="A216" s="19" t="inlineStr">
        <is>
          <t>5.22-5.28</t>
        </is>
      </c>
      <c r="B216" s="19" t="inlineStr">
        <is>
          <t>PO-128-04982863798392458</t>
        </is>
      </c>
      <c r="C216" s="19" t="inlineStr">
        <is>
          <t>Shipped</t>
        </is>
      </c>
      <c r="D216" s="19" t="inlineStr">
        <is>
          <t>128-04982869041272458</t>
        </is>
      </c>
      <c r="E216" s="19" t="inlineStr">
        <is>
          <t>Shipped</t>
        </is>
      </c>
      <c r="F216" s="19" t="inlineStr">
        <is>
          <t>BS-01</t>
        </is>
      </c>
      <c r="G21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6" s="19" t="inlineStr">
        <is>
          <t>BS-01</t>
        </is>
      </c>
      <c r="I216" s="19" t="n">
        <v>1</v>
      </c>
      <c r="J216" s="20" t="n">
        <v>219</v>
      </c>
      <c r="K216" s="20" t="n">
        <v>257.6</v>
      </c>
      <c r="L216" s="20" t="n">
        <v>25.86</v>
      </c>
      <c r="M216" s="20" t="n">
        <v>0</v>
      </c>
      <c r="N216" s="20">
        <f>K216*0.08+L216*0.08</f>
        <v/>
      </c>
      <c r="O216" s="20">
        <f>-(K216*0.025+L216*0.025)</f>
        <v/>
      </c>
      <c r="P216" s="20">
        <f>32</f>
        <v/>
      </c>
      <c r="Q216" s="20">
        <f>J216+L216+N216+O216-P216-M216</f>
        <v/>
      </c>
    </row>
    <row r="217">
      <c r="A217" s="19" t="inlineStr">
        <is>
          <t>5.22-5.28</t>
        </is>
      </c>
      <c r="B217" s="19" t="inlineStr">
        <is>
          <t>PO-128-05258685499512030</t>
        </is>
      </c>
      <c r="C217" s="19" t="inlineStr">
        <is>
          <t>Shipped</t>
        </is>
      </c>
      <c r="D217" s="19" t="inlineStr">
        <is>
          <t>128-05258667149432030</t>
        </is>
      </c>
      <c r="E217" s="19" t="inlineStr">
        <is>
          <t>Shipped</t>
        </is>
      </c>
      <c r="F217" s="19" t="inlineStr">
        <is>
          <t>BS-01</t>
        </is>
      </c>
      <c r="G21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7" s="19" t="inlineStr">
        <is>
          <t>BS-01</t>
        </is>
      </c>
      <c r="I217" s="19" t="n">
        <v>1</v>
      </c>
      <c r="J217" s="20" t="n">
        <v>219</v>
      </c>
      <c r="K217" s="20" t="n">
        <v>257.6</v>
      </c>
      <c r="L217" s="20" t="n">
        <v>25.86</v>
      </c>
      <c r="M217" s="20" t="n">
        <v>0</v>
      </c>
      <c r="N217" s="20">
        <f>K217*0.08+L217*0.08</f>
        <v/>
      </c>
      <c r="O217" s="20">
        <f>-(K217*0.025+L217*0.025)</f>
        <v/>
      </c>
      <c r="P217" s="20">
        <f>32</f>
        <v/>
      </c>
      <c r="Q217" s="20">
        <f>J217+L217+N217+O217-P217-M217</f>
        <v/>
      </c>
    </row>
    <row r="218">
      <c r="A218" s="19" t="inlineStr">
        <is>
          <t>5.22-5.28</t>
        </is>
      </c>
      <c r="B218" s="19" t="inlineStr">
        <is>
          <t>PO-128-04993546596472525</t>
        </is>
      </c>
      <c r="C218" s="19" t="inlineStr">
        <is>
          <t>Shipped</t>
        </is>
      </c>
      <c r="D218" s="19" t="inlineStr">
        <is>
          <t>128-04993504653432525</t>
        </is>
      </c>
      <c r="E218" s="19" t="inlineStr">
        <is>
          <t>Shipped</t>
        </is>
      </c>
      <c r="F218" s="19" t="inlineStr">
        <is>
          <t>BS-01</t>
        </is>
      </c>
      <c r="G21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8" s="19" t="inlineStr">
        <is>
          <t>BS-01</t>
        </is>
      </c>
      <c r="I218" s="19" t="n">
        <v>1</v>
      </c>
      <c r="J218" s="20" t="n">
        <v>219</v>
      </c>
      <c r="K218" s="20" t="n">
        <v>257.6</v>
      </c>
      <c r="L218" s="20" t="n">
        <v>25.86</v>
      </c>
      <c r="M218" s="20" t="n">
        <v>0</v>
      </c>
      <c r="N218" s="20">
        <f>K218*0.08+L218*0.08</f>
        <v/>
      </c>
      <c r="O218" s="20">
        <f>-(K218*0.025+L218*0.025)</f>
        <v/>
      </c>
      <c r="P218" s="20">
        <f>32</f>
        <v/>
      </c>
      <c r="Q218" s="20">
        <f>J218+L218+N218+O218-P218-M218</f>
        <v/>
      </c>
    </row>
    <row r="219">
      <c r="A219" s="19" t="inlineStr">
        <is>
          <t>5.22-5.28</t>
        </is>
      </c>
      <c r="B219" s="19" t="inlineStr">
        <is>
          <t>PO-128-05205659548791194</t>
        </is>
      </c>
      <c r="C219" s="19" t="inlineStr">
        <is>
          <t>Shipped</t>
        </is>
      </c>
      <c r="D219" s="19" t="inlineStr">
        <is>
          <t>128-05205764406391194</t>
        </is>
      </c>
      <c r="E219" s="19" t="inlineStr">
        <is>
          <t>Shipped</t>
        </is>
      </c>
      <c r="F219" s="19" t="inlineStr">
        <is>
          <t>BS-01</t>
        </is>
      </c>
      <c r="G21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9" s="19" t="inlineStr">
        <is>
          <t>BS-01</t>
        </is>
      </c>
      <c r="I219" s="19" t="n">
        <v>2</v>
      </c>
      <c r="J219" s="20" t="n">
        <v>438</v>
      </c>
      <c r="K219" s="20" t="n">
        <v>515.2</v>
      </c>
      <c r="L219" s="20" t="n">
        <v>0</v>
      </c>
      <c r="M219" s="20" t="n">
        <v>0</v>
      </c>
      <c r="N219" s="20">
        <f>K219*0.08+L219*0.08</f>
        <v/>
      </c>
      <c r="O219" s="20">
        <f>-(K219*0.025+L219*0.025)</f>
        <v/>
      </c>
      <c r="P219" s="20">
        <f>32</f>
        <v/>
      </c>
      <c r="Q219" s="20">
        <f>J219+L219+N219+O219-P219-M219</f>
        <v/>
      </c>
    </row>
    <row r="220">
      <c r="A220" s="19" t="inlineStr">
        <is>
          <t>5.22-5.28</t>
        </is>
      </c>
      <c r="B220" s="19" t="inlineStr">
        <is>
          <t>PO-128-04851255424633437</t>
        </is>
      </c>
      <c r="C220" s="19" t="inlineStr">
        <is>
          <t>Shipped</t>
        </is>
      </c>
      <c r="D220" s="19" t="inlineStr">
        <is>
          <t>128-04851276396153437</t>
        </is>
      </c>
      <c r="E220" s="19" t="inlineStr">
        <is>
          <t>Shipped</t>
        </is>
      </c>
      <c r="F220" s="19" t="inlineStr">
        <is>
          <t>BS-01</t>
        </is>
      </c>
      <c r="G22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0" s="19" t="inlineStr">
        <is>
          <t>BS-01</t>
        </is>
      </c>
      <c r="I220" s="19" t="n">
        <v>1</v>
      </c>
      <c r="J220" s="20" t="n">
        <v>219</v>
      </c>
      <c r="K220" s="20" t="n">
        <v>257.6</v>
      </c>
      <c r="L220" s="20" t="n">
        <v>25.86</v>
      </c>
      <c r="M220" s="20" t="n">
        <v>0</v>
      </c>
      <c r="N220" s="20">
        <f>K220*0.08+L220*0.08</f>
        <v/>
      </c>
      <c r="O220" s="20">
        <f>-(K220*0.025+L220*0.025)</f>
        <v/>
      </c>
      <c r="P220" s="20">
        <f>32</f>
        <v/>
      </c>
      <c r="Q220" s="20">
        <f>J220+L220+N220+O220-P220-M220</f>
        <v/>
      </c>
    </row>
    <row r="221">
      <c r="A221" s="19" t="inlineStr">
        <is>
          <t>5.22-5.28</t>
        </is>
      </c>
      <c r="B221" s="19" t="inlineStr">
        <is>
          <t>PO-128-05232813507191099</t>
        </is>
      </c>
      <c r="C221" s="19" t="inlineStr">
        <is>
          <t>Shipped</t>
        </is>
      </c>
      <c r="D221" s="19" t="inlineStr">
        <is>
          <t>128-05232808264311099</t>
        </is>
      </c>
      <c r="E221" s="19" t="inlineStr">
        <is>
          <t>Shipped</t>
        </is>
      </c>
      <c r="F221" s="19" t="inlineStr">
        <is>
          <t>BS-01</t>
        </is>
      </c>
      <c r="G22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1" s="19" t="inlineStr">
        <is>
          <t>BS-01</t>
        </is>
      </c>
      <c r="I221" s="19" t="n">
        <v>1</v>
      </c>
      <c r="J221" s="20" t="n">
        <v>219</v>
      </c>
      <c r="K221" s="20" t="n">
        <v>231.84</v>
      </c>
      <c r="L221" s="20" t="n">
        <v>25.86</v>
      </c>
      <c r="M221" s="20" t="n">
        <v>0</v>
      </c>
      <c r="N221" s="20">
        <f>K221*0.08+L221*0.08</f>
        <v/>
      </c>
      <c r="O221" s="20">
        <f>-(K221*0.025+L221*0.025)</f>
        <v/>
      </c>
      <c r="P221" s="20">
        <f>32</f>
        <v/>
      </c>
      <c r="Q221" s="20">
        <f>J221+L221+N221+O221-P221-M221</f>
        <v/>
      </c>
    </row>
    <row r="222">
      <c r="A222" s="19" t="inlineStr">
        <is>
          <t>5.22-5.28</t>
        </is>
      </c>
      <c r="B222" s="19" t="inlineStr">
        <is>
          <t>PO-128-05064525005432164</t>
        </is>
      </c>
      <c r="C222" s="19" t="inlineStr">
        <is>
          <t>Shipped</t>
        </is>
      </c>
      <c r="D222" s="19" t="inlineStr">
        <is>
          <t>128-05064483062392164</t>
        </is>
      </c>
      <c r="E222" s="19" t="inlineStr">
        <is>
          <t>Shipped</t>
        </is>
      </c>
      <c r="F222" s="19" t="inlineStr">
        <is>
          <t>BS-01</t>
        </is>
      </c>
      <c r="G22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2" s="19" t="inlineStr">
        <is>
          <t>BS-01</t>
        </is>
      </c>
      <c r="I222" s="19" t="n">
        <v>1</v>
      </c>
      <c r="J222" s="20" t="n">
        <v>219</v>
      </c>
      <c r="K222" s="20" t="n">
        <v>257.6</v>
      </c>
      <c r="L222" s="20" t="n">
        <v>25.86</v>
      </c>
      <c r="M222" s="20" t="n">
        <v>0</v>
      </c>
      <c r="N222" s="20">
        <f>K222*0.08+L222*0.08</f>
        <v/>
      </c>
      <c r="O222" s="20">
        <f>-(K222*0.025+L222*0.025)</f>
        <v/>
      </c>
      <c r="P222" s="20">
        <f>32</f>
        <v/>
      </c>
      <c r="Q222" s="20">
        <f>J222+L222+N222+O222-P222-M222</f>
        <v/>
      </c>
    </row>
    <row r="223">
      <c r="A223" s="19" t="inlineStr">
        <is>
          <t>5.22-5.28</t>
        </is>
      </c>
      <c r="B223" s="19" t="inlineStr">
        <is>
          <t>PO-128-04979594998393694</t>
        </is>
      </c>
      <c r="C223" s="19" t="inlineStr">
        <is>
          <t>Shipped</t>
        </is>
      </c>
      <c r="D223" s="19" t="inlineStr">
        <is>
          <t>128-04979615969913694</t>
        </is>
      </c>
      <c r="E223" s="19" t="inlineStr">
        <is>
          <t>Shipped</t>
        </is>
      </c>
      <c r="F223" s="19" t="inlineStr">
        <is>
          <t>BS-01</t>
        </is>
      </c>
      <c r="G22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3" s="19" t="inlineStr">
        <is>
          <t>BS-01</t>
        </is>
      </c>
      <c r="I223" s="19" t="n">
        <v>1</v>
      </c>
      <c r="J223" s="20" t="n">
        <v>219</v>
      </c>
      <c r="K223" s="20" t="n">
        <v>257.6</v>
      </c>
      <c r="L223" s="20" t="n">
        <v>25.86</v>
      </c>
      <c r="M223" s="20" t="n">
        <v>0</v>
      </c>
      <c r="N223" s="20">
        <f>K223*0.08+L223*0.08</f>
        <v/>
      </c>
      <c r="O223" s="20">
        <f>-(K223*0.025+L223*0.025)</f>
        <v/>
      </c>
      <c r="P223" s="20">
        <f>32</f>
        <v/>
      </c>
      <c r="Q223" s="20">
        <f>J223+L223+N223+O223-P223-M223</f>
        <v/>
      </c>
    </row>
    <row r="224">
      <c r="A224" s="19" t="inlineStr">
        <is>
          <t>5.22-5.28</t>
        </is>
      </c>
      <c r="B224" s="19" t="inlineStr">
        <is>
          <t>PO-128-17688184952951611</t>
        </is>
      </c>
      <c r="C224" s="19" t="inlineStr">
        <is>
          <t>Shipped</t>
        </is>
      </c>
      <c r="D224" s="19" t="inlineStr">
        <is>
          <t>128-17688143009911611</t>
        </is>
      </c>
      <c r="E224" s="19" t="inlineStr">
        <is>
          <t>Shipped</t>
        </is>
      </c>
      <c r="F224" s="19" t="inlineStr">
        <is>
          <t>BS-01</t>
        </is>
      </c>
      <c r="G22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4" s="19" t="inlineStr">
        <is>
          <t>BS-01</t>
        </is>
      </c>
      <c r="I224" s="19" t="n">
        <v>1</v>
      </c>
      <c r="J224" s="20" t="n">
        <v>219</v>
      </c>
      <c r="K224" s="20" t="n">
        <v>257.6</v>
      </c>
      <c r="L224" s="20" t="n">
        <v>25.86</v>
      </c>
      <c r="M224" s="20" t="n">
        <v>0</v>
      </c>
      <c r="N224" s="20">
        <f>K224*0.08+L224*0.08</f>
        <v/>
      </c>
      <c r="O224" s="20">
        <f>-(K224*0.025+L224*0.025)</f>
        <v/>
      </c>
      <c r="P224" s="20">
        <f>32</f>
        <v/>
      </c>
      <c r="Q224" s="20">
        <f>J224+L224+N224+O224-P224-M224</f>
        <v/>
      </c>
    </row>
    <row r="225">
      <c r="A225" s="19" t="inlineStr">
        <is>
          <t>5.22-5.28</t>
        </is>
      </c>
      <c r="B225" s="19" t="inlineStr">
        <is>
          <t>PO-128-17690737984631659</t>
        </is>
      </c>
      <c r="C225" s="19" t="inlineStr">
        <is>
          <t>Shipped</t>
        </is>
      </c>
      <c r="D225" s="19" t="inlineStr">
        <is>
          <t>128-17690765509751659</t>
        </is>
      </c>
      <c r="E225" s="19" t="inlineStr">
        <is>
          <t>Shipped</t>
        </is>
      </c>
      <c r="F225" s="19" t="inlineStr">
        <is>
          <t>BS-01</t>
        </is>
      </c>
      <c r="G22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5" s="19" t="inlineStr">
        <is>
          <t>BS-01</t>
        </is>
      </c>
      <c r="I225" s="19" t="n">
        <v>1</v>
      </c>
      <c r="J225" s="20" t="n">
        <v>219</v>
      </c>
      <c r="K225" s="20" t="n">
        <v>257.6</v>
      </c>
      <c r="L225" s="20" t="n">
        <v>0</v>
      </c>
      <c r="M225" s="20" t="n">
        <v>0</v>
      </c>
      <c r="N225" s="20">
        <f>K225*0.08+L225*0.08</f>
        <v/>
      </c>
      <c r="O225" s="20">
        <f>-(K225*0.025+L225*0.025)</f>
        <v/>
      </c>
      <c r="P225" s="20">
        <f>32</f>
        <v/>
      </c>
      <c r="Q225" s="20">
        <f>J225+L225+N225+O225-P225-M225</f>
        <v/>
      </c>
    </row>
    <row r="226">
      <c r="A226" s="19" t="inlineStr">
        <is>
          <t>5.22-5.28</t>
        </is>
      </c>
      <c r="B226" s="19" t="inlineStr">
        <is>
          <t>PO-128-17690737984631659</t>
        </is>
      </c>
      <c r="C226" s="19" t="inlineStr">
        <is>
          <t>Shipped</t>
        </is>
      </c>
      <c r="D226" s="19" t="inlineStr">
        <is>
          <t>128-17690755023991659</t>
        </is>
      </c>
      <c r="E226" s="19" t="inlineStr">
        <is>
          <t>Shipped</t>
        </is>
      </c>
      <c r="F226" s="19" t="inlineStr">
        <is>
          <t>S-10302</t>
        </is>
      </c>
      <c r="G226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226" s="19" t="inlineStr">
        <is>
          <t>s-10302</t>
        </is>
      </c>
      <c r="I226" s="19" t="n">
        <v>1</v>
      </c>
      <c r="J226" s="20" t="n">
        <v>65</v>
      </c>
      <c r="K226" s="20" t="n">
        <v>76.90000000000001</v>
      </c>
      <c r="L226" s="20" t="n">
        <v>0</v>
      </c>
      <c r="M226" s="20" t="n">
        <v>0</v>
      </c>
      <c r="N226" s="20">
        <f>K226*0.08+L226*0.08</f>
        <v/>
      </c>
      <c r="O226" s="20">
        <f>-(K226*0.025+L226*0.025)</f>
        <v/>
      </c>
      <c r="P226" s="20">
        <f>32</f>
        <v/>
      </c>
      <c r="Q226" s="20">
        <f>J226+L226+N226+O226-P226-M226</f>
        <v/>
      </c>
    </row>
    <row r="227">
      <c r="A227" s="19" t="inlineStr">
        <is>
          <t>5.22-5.28</t>
        </is>
      </c>
      <c r="B227" s="19" t="inlineStr">
        <is>
          <t>PO-128-17624889659511986</t>
        </is>
      </c>
      <c r="C227" s="19" t="inlineStr">
        <is>
          <t>Shipped</t>
        </is>
      </c>
      <c r="D227" s="19" t="inlineStr">
        <is>
          <t>128-17624965681271986</t>
        </is>
      </c>
      <c r="E227" s="19" t="inlineStr">
        <is>
          <t>Shipped</t>
        </is>
      </c>
      <c r="F227" s="19" t="inlineStr">
        <is>
          <t>BS-01</t>
        </is>
      </c>
      <c r="G22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7" s="19" t="inlineStr">
        <is>
          <t>BS-01</t>
        </is>
      </c>
      <c r="I227" s="19" t="n">
        <v>1</v>
      </c>
      <c r="J227" s="20" t="n">
        <v>219</v>
      </c>
      <c r="K227" s="20" t="n">
        <v>257.6</v>
      </c>
      <c r="L227" s="20" t="n">
        <v>25.86</v>
      </c>
      <c r="M227" s="20" t="n">
        <v>0</v>
      </c>
      <c r="N227" s="20">
        <f>K227*0.08+L227*0.08</f>
        <v/>
      </c>
      <c r="O227" s="20">
        <f>-(K227*0.025+L227*0.025)</f>
        <v/>
      </c>
      <c r="P227" s="20">
        <f>32</f>
        <v/>
      </c>
      <c r="Q227" s="20">
        <f>J227+L227+N227+O227-P227-M227</f>
        <v/>
      </c>
    </row>
    <row r="228">
      <c r="A228" s="19" t="inlineStr">
        <is>
          <t>5.22-5.28</t>
        </is>
      </c>
      <c r="B228" s="19" t="inlineStr">
        <is>
          <t>PO-128-17289290289273858</t>
        </is>
      </c>
      <c r="C228" s="19" t="inlineStr">
        <is>
          <t>Shipped</t>
        </is>
      </c>
      <c r="D228" s="19" t="inlineStr">
        <is>
          <t>128-17289395146873858</t>
        </is>
      </c>
      <c r="E228" s="19" t="inlineStr">
        <is>
          <t>Shipped</t>
        </is>
      </c>
      <c r="F228" s="19" t="inlineStr">
        <is>
          <t>BS-01</t>
        </is>
      </c>
      <c r="G22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8" s="19" t="inlineStr">
        <is>
          <t>BS-01</t>
        </is>
      </c>
      <c r="I228" s="19" t="n">
        <v>1</v>
      </c>
      <c r="J228" s="20" t="n">
        <v>219</v>
      </c>
      <c r="K228" s="20" t="n">
        <v>257.6</v>
      </c>
      <c r="L228" s="20" t="n">
        <v>25.86</v>
      </c>
      <c r="M228" s="20" t="n">
        <v>0</v>
      </c>
      <c r="N228" s="20">
        <f>K228*0.08+L228*0.08</f>
        <v/>
      </c>
      <c r="O228" s="20">
        <f>-(K228*0.025+L228*0.025)</f>
        <v/>
      </c>
      <c r="P228" s="20">
        <f>32</f>
        <v/>
      </c>
      <c r="Q228" s="20">
        <f>J228+L228+N228+O228-P228-M228</f>
        <v/>
      </c>
    </row>
    <row r="229">
      <c r="A229" s="19" t="inlineStr">
        <is>
          <t>5.22-5.28</t>
        </is>
      </c>
      <c r="B229" s="19" t="inlineStr">
        <is>
          <t>PO-128-17809165468790824</t>
        </is>
      </c>
      <c r="C229" s="19" t="inlineStr">
        <is>
          <t>Shipped</t>
        </is>
      </c>
      <c r="D229" s="19" t="inlineStr">
        <is>
          <t>128-17809178575990824</t>
        </is>
      </c>
      <c r="E229" s="19" t="inlineStr">
        <is>
          <t>Shipped</t>
        </is>
      </c>
      <c r="F229" s="19" t="inlineStr">
        <is>
          <t>BS-09</t>
        </is>
      </c>
      <c r="G229" s="19" t="inlineStr">
        <is>
          <t>Altavoz de barra para PC con iluminación RGB, sonido de alta fidelidad y múltiples conexiones: Bluetooth, radio FM, USB, TF, AUX y TWS. Ideal para juegos, reuniones y cine en casa.</t>
        </is>
      </c>
      <c r="H229" s="19" t="inlineStr">
        <is>
          <t>NEGRO</t>
        </is>
      </c>
      <c r="I229" s="19" t="n">
        <v>2</v>
      </c>
      <c r="J229" s="20" t="n">
        <v>235.98</v>
      </c>
      <c r="K229" s="20" t="n">
        <v>252.6</v>
      </c>
      <c r="L229" s="20" t="n">
        <v>0</v>
      </c>
      <c r="M229" s="20" t="n">
        <v>0</v>
      </c>
      <c r="N229" s="20">
        <f>K229*0.08+L229*0.08</f>
        <v/>
      </c>
      <c r="O229" s="20">
        <f>-(K229*0.025+L229*0.025)</f>
        <v/>
      </c>
      <c r="P229" s="20">
        <f>32</f>
        <v/>
      </c>
      <c r="Q229" s="20">
        <f>J229+L229+N229+O229-P229-M229</f>
        <v/>
      </c>
    </row>
    <row r="230">
      <c r="A230" s="19" t="inlineStr">
        <is>
          <t>5.22-5.28</t>
        </is>
      </c>
      <c r="B230" s="19" t="inlineStr">
        <is>
          <t>PO-128-17180179405433487</t>
        </is>
      </c>
      <c r="C230" s="19" t="inlineStr">
        <is>
          <t>Shipped</t>
        </is>
      </c>
      <c r="D230" s="19" t="inlineStr">
        <is>
          <t>128-17180137462393487</t>
        </is>
      </c>
      <c r="E230" s="19" t="inlineStr">
        <is>
          <t>Shipped</t>
        </is>
      </c>
      <c r="F230" s="19" t="inlineStr">
        <is>
          <t>BS-09</t>
        </is>
      </c>
      <c r="G230" s="19" t="inlineStr">
        <is>
          <t>Altavoz de barra para PC con iluminación RGB, sonido de alta fidelidad y múltiples conexiones: Bluetooth, radio FM, USB, TF, AUX y TWS. Ideal para juegos, reuniones y cine en casa.</t>
        </is>
      </c>
      <c r="H230" s="19" t="inlineStr">
        <is>
          <t>NEGRO</t>
        </is>
      </c>
      <c r="I230" s="19" t="n">
        <v>1</v>
      </c>
      <c r="J230" s="20" t="n">
        <v>117.99</v>
      </c>
      <c r="K230" s="20" t="n">
        <v>146.36</v>
      </c>
      <c r="L230" s="20" t="n">
        <v>25.86</v>
      </c>
      <c r="M230" s="20" t="n">
        <v>0</v>
      </c>
      <c r="N230" s="20">
        <f>K230*0.08+L230*0.08</f>
        <v/>
      </c>
      <c r="O230" s="20">
        <f>-(K230*0.025+L230*0.025)</f>
        <v/>
      </c>
      <c r="P230" s="20">
        <f>32</f>
        <v/>
      </c>
      <c r="Q230" s="20">
        <f>J230+L230+N230+O230-P230-M230</f>
        <v/>
      </c>
    </row>
    <row r="231">
      <c r="A231" s="19" t="inlineStr">
        <is>
          <t>5.22-5.28</t>
        </is>
      </c>
      <c r="B231" s="19" t="inlineStr">
        <is>
          <t>PO-128-17608463959671124</t>
        </is>
      </c>
      <c r="C231" s="19" t="inlineStr">
        <is>
          <t>Shipped</t>
        </is>
      </c>
      <c r="D231" s="19" t="inlineStr">
        <is>
          <t>128-17608516388471124</t>
        </is>
      </c>
      <c r="E231" s="19" t="inlineStr">
        <is>
          <t>Shipped</t>
        </is>
      </c>
      <c r="F231" s="19" t="inlineStr">
        <is>
          <t>BS-01</t>
        </is>
      </c>
      <c r="G23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1" s="19" t="inlineStr">
        <is>
          <t>BS-01</t>
        </is>
      </c>
      <c r="I231" s="19" t="n">
        <v>1</v>
      </c>
      <c r="J231" s="20" t="n">
        <v>219</v>
      </c>
      <c r="K231" s="20" t="n">
        <v>257.6</v>
      </c>
      <c r="L231" s="20" t="n">
        <v>25.86</v>
      </c>
      <c r="M231" s="20" t="n">
        <v>0</v>
      </c>
      <c r="N231" s="20">
        <f>K231*0.08+L231*0.08</f>
        <v/>
      </c>
      <c r="O231" s="20">
        <f>-(K231*0.025+L231*0.025)</f>
        <v/>
      </c>
      <c r="P231" s="20">
        <f>32</f>
        <v/>
      </c>
      <c r="Q231" s="20">
        <f>J231+L231+N231+O231-P231-M231</f>
        <v/>
      </c>
    </row>
    <row r="232">
      <c r="A232" s="19" t="inlineStr">
        <is>
          <t>5.22-5.28</t>
        </is>
      </c>
      <c r="B232" s="19" t="inlineStr">
        <is>
          <t>PO-128-17496310651512752</t>
        </is>
      </c>
      <c r="C232" s="19" t="inlineStr">
        <is>
          <t>Shipped</t>
        </is>
      </c>
      <c r="D232" s="19" t="inlineStr">
        <is>
          <t>128-17496331623032752</t>
        </is>
      </c>
      <c r="E232" s="19" t="inlineStr">
        <is>
          <t>Shipped</t>
        </is>
      </c>
      <c r="F232" s="19" t="inlineStr">
        <is>
          <t>BS-01</t>
        </is>
      </c>
      <c r="G23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2" s="19" t="inlineStr">
        <is>
          <t>BS-01</t>
        </is>
      </c>
      <c r="I232" s="19" t="n">
        <v>1</v>
      </c>
      <c r="J232" s="20" t="n">
        <v>219</v>
      </c>
      <c r="K232" s="20" t="n">
        <v>236.38</v>
      </c>
      <c r="L232" s="20" t="n">
        <v>25.86</v>
      </c>
      <c r="M232" s="20" t="n">
        <v>0</v>
      </c>
      <c r="N232" s="20">
        <f>K232*0.08+L232*0.08</f>
        <v/>
      </c>
      <c r="O232" s="20">
        <f>-(K232*0.025+L232*0.025)</f>
        <v/>
      </c>
      <c r="P232" s="20">
        <f>32</f>
        <v/>
      </c>
      <c r="Q232" s="20">
        <f>J232+L232+N232+O232-P232-M232</f>
        <v/>
      </c>
    </row>
    <row r="233">
      <c r="A233" s="19" t="inlineStr">
        <is>
          <t>5.22-5.28</t>
        </is>
      </c>
      <c r="B233" s="19" t="inlineStr">
        <is>
          <t>PO-128-17391966961272414</t>
        </is>
      </c>
      <c r="C233" s="19" t="inlineStr">
        <is>
          <t>Shipped</t>
        </is>
      </c>
      <c r="D233" s="19" t="inlineStr">
        <is>
          <t>128-17392071818872414</t>
        </is>
      </c>
      <c r="E233" s="19" t="inlineStr">
        <is>
          <t>Shipped</t>
        </is>
      </c>
      <c r="F233" s="19" t="inlineStr">
        <is>
          <t>BS-01</t>
        </is>
      </c>
      <c r="G23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3" s="19" t="inlineStr">
        <is>
          <t>BS-01</t>
        </is>
      </c>
      <c r="I233" s="19" t="n">
        <v>1</v>
      </c>
      <c r="J233" s="20" t="n">
        <v>219</v>
      </c>
      <c r="K233" s="20" t="n">
        <v>257.6</v>
      </c>
      <c r="L233" s="20" t="n">
        <v>25.86</v>
      </c>
      <c r="M233" s="20" t="n">
        <v>0</v>
      </c>
      <c r="N233" s="20">
        <f>K233*0.08+L233*0.08</f>
        <v/>
      </c>
      <c r="O233" s="20">
        <f>-(K233*0.025+L233*0.025)</f>
        <v/>
      </c>
      <c r="P233" s="20">
        <f>32</f>
        <v/>
      </c>
      <c r="Q233" s="20">
        <f>J233+L233+N233+O233-P233-M233</f>
        <v/>
      </c>
    </row>
    <row r="234">
      <c r="A234" s="19" t="inlineStr">
        <is>
          <t>5.22-5.28</t>
        </is>
      </c>
      <c r="B234" s="19" t="inlineStr">
        <is>
          <t>PO-128-17432785495672173</t>
        </is>
      </c>
      <c r="C234" s="19" t="inlineStr">
        <is>
          <t>Shipped</t>
        </is>
      </c>
      <c r="D234" s="19" t="inlineStr">
        <is>
          <t>128-17432764524152173</t>
        </is>
      </c>
      <c r="E234" s="19" t="inlineStr">
        <is>
          <t>Shipped</t>
        </is>
      </c>
      <c r="F234" s="19" t="inlineStr">
        <is>
          <t>IE03CN</t>
        </is>
      </c>
      <c r="G234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234" s="19" t="inlineStr">
        <is>
          <t>NEGRO</t>
        </is>
      </c>
      <c r="I234" s="19" t="n">
        <v>1</v>
      </c>
      <c r="J234" s="20" t="n">
        <v>40</v>
      </c>
      <c r="K234" s="20" t="n">
        <v>49.59</v>
      </c>
      <c r="L234" s="20" t="n">
        <v>25.86</v>
      </c>
      <c r="M234" s="20" t="n">
        <v>0</v>
      </c>
      <c r="N234" s="20">
        <f>K234*0.08+L234*0.08</f>
        <v/>
      </c>
      <c r="O234" s="20">
        <f>-(K234*0.025+L234*0.025)</f>
        <v/>
      </c>
      <c r="P234" s="20">
        <f>32</f>
        <v/>
      </c>
      <c r="Q234" s="20">
        <f>J234+L234+N234+O234-P234-M234</f>
        <v/>
      </c>
    </row>
    <row r="235">
      <c r="A235" s="19" t="inlineStr">
        <is>
          <t>5.22-5.28</t>
        </is>
      </c>
      <c r="B235" s="19" t="inlineStr">
        <is>
          <t>PO-128-17257789839993150</t>
        </is>
      </c>
      <c r="C235" s="19" t="inlineStr">
        <is>
          <t>Shipped</t>
        </is>
      </c>
      <c r="D235" s="19" t="inlineStr">
        <is>
          <t>128-17257768868473150</t>
        </is>
      </c>
      <c r="E235" s="19" t="inlineStr">
        <is>
          <t>Shipped</t>
        </is>
      </c>
      <c r="F235" s="19" t="inlineStr">
        <is>
          <t>BS-09</t>
        </is>
      </c>
      <c r="G235" s="19" t="inlineStr">
        <is>
          <t>Altavoz de barra para PC con iluminación RGB, sonido de alta fidelidad y múltiples conexiones: Bluetooth, radio FM, USB, TF, AUX y TWS. Ideal para juegos, reuniones y cine en casa.</t>
        </is>
      </c>
      <c r="H235" s="19" t="inlineStr">
        <is>
          <t>NEGRO</t>
        </is>
      </c>
      <c r="I235" s="19" t="n">
        <v>2</v>
      </c>
      <c r="J235" s="20" t="n">
        <v>235.98</v>
      </c>
      <c r="K235" s="20" t="n">
        <v>292.72</v>
      </c>
      <c r="L235" s="20" t="n">
        <v>0</v>
      </c>
      <c r="M235" s="20" t="n">
        <v>0</v>
      </c>
      <c r="N235" s="20">
        <f>K235*0.08+L235*0.08</f>
        <v/>
      </c>
      <c r="O235" s="20">
        <f>-(K235*0.025+L235*0.025)</f>
        <v/>
      </c>
      <c r="P235" s="20">
        <f>32</f>
        <v/>
      </c>
      <c r="Q235" s="20">
        <f>J235+L235+N235+O235-P235-M235</f>
        <v/>
      </c>
    </row>
    <row r="236">
      <c r="A236" s="19" t="inlineStr">
        <is>
          <t>5.22-5.28</t>
        </is>
      </c>
      <c r="B236" s="19" t="inlineStr">
        <is>
          <t>PO-128-06408978857592214</t>
        </is>
      </c>
      <c r="C236" s="19" t="inlineStr">
        <is>
          <t>Shipped</t>
        </is>
      </c>
      <c r="D236" s="19" t="inlineStr">
        <is>
          <t>128-06408936914552214</t>
        </is>
      </c>
      <c r="E236" s="19" t="inlineStr">
        <is>
          <t>Shipped</t>
        </is>
      </c>
      <c r="F236" s="19" t="inlineStr">
        <is>
          <t>BS-01</t>
        </is>
      </c>
      <c r="G23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6" s="19" t="inlineStr">
        <is>
          <t>BS-01</t>
        </is>
      </c>
      <c r="I236" s="19" t="n">
        <v>1</v>
      </c>
      <c r="J236" s="20" t="n">
        <v>219</v>
      </c>
      <c r="K236" s="20" t="n">
        <v>257.6</v>
      </c>
      <c r="L236" s="20" t="n">
        <v>25.86</v>
      </c>
      <c r="M236" s="20" t="n">
        <v>0</v>
      </c>
      <c r="N236" s="20">
        <f>K236*0.08+L236*0.08</f>
        <v/>
      </c>
      <c r="O236" s="20">
        <f>-(K236*0.025+L236*0.025)</f>
        <v/>
      </c>
      <c r="P236" s="20">
        <f>32</f>
        <v/>
      </c>
      <c r="Q236" s="20">
        <f>J236+L236+N236+O236-P236-M236</f>
        <v/>
      </c>
    </row>
    <row r="237">
      <c r="A237" s="19" t="inlineStr">
        <is>
          <t>5.22-5.28</t>
        </is>
      </c>
      <c r="B237" s="19" t="inlineStr">
        <is>
          <t>PO-128-06313455247993937</t>
        </is>
      </c>
      <c r="C237" s="19" t="inlineStr">
        <is>
          <t>Shipped</t>
        </is>
      </c>
      <c r="D237" s="19" t="inlineStr">
        <is>
          <t>128-06313455002233937</t>
        </is>
      </c>
      <c r="E237" s="19" t="inlineStr">
        <is>
          <t>Shipped</t>
        </is>
      </c>
      <c r="F237" s="19" t="inlineStr">
        <is>
          <t>BS-01</t>
        </is>
      </c>
      <c r="G23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7" s="19" t="inlineStr">
        <is>
          <t>BS-01</t>
        </is>
      </c>
      <c r="I237" s="19" t="n">
        <v>1</v>
      </c>
      <c r="J237" s="20" t="n">
        <v>219</v>
      </c>
      <c r="K237" s="20" t="n">
        <v>193.2</v>
      </c>
      <c r="L237" s="20" t="n">
        <v>25.86</v>
      </c>
      <c r="M237" s="20" t="n">
        <v>0</v>
      </c>
      <c r="N237" s="20">
        <f>K237*0.08+L237*0.08</f>
        <v/>
      </c>
      <c r="O237" s="20">
        <f>-(K237*0.025+L237*0.025)</f>
        <v/>
      </c>
      <c r="P237" s="20">
        <f>32</f>
        <v/>
      </c>
      <c r="Q237" s="20">
        <f>J237+L237+N237+O237-P237-M237</f>
        <v/>
      </c>
    </row>
    <row r="238">
      <c r="A238" s="19" t="inlineStr">
        <is>
          <t>5.22-5.28</t>
        </is>
      </c>
      <c r="B238" s="19" t="inlineStr">
        <is>
          <t>PO-128-06505916186232788</t>
        </is>
      </c>
      <c r="C238" s="19" t="inlineStr">
        <is>
          <t>Shipped</t>
        </is>
      </c>
      <c r="D238" s="19" t="inlineStr">
        <is>
          <t>128-06505942400632788</t>
        </is>
      </c>
      <c r="E238" s="19" t="inlineStr">
        <is>
          <t>Shipped</t>
        </is>
      </c>
      <c r="F238" s="19" t="inlineStr">
        <is>
          <t>BS-09</t>
        </is>
      </c>
      <c r="G238" s="19" t="inlineStr">
        <is>
          <t>Altavoz de barra para PC con iluminación RGB, sonido de alta fidelidad y múltiples conexiones: Bluetooth, radio FM, USB, TF, AUX y TWS. Ideal para juegos, reuniones y cine en casa.</t>
        </is>
      </c>
      <c r="H238" s="19" t="inlineStr">
        <is>
          <t>NEGRO</t>
        </is>
      </c>
      <c r="I238" s="19" t="n">
        <v>1</v>
      </c>
      <c r="J238" s="20" t="n">
        <v>117.99</v>
      </c>
      <c r="K238" s="20" t="n">
        <v>146.36</v>
      </c>
      <c r="L238" s="20" t="n">
        <v>25.86</v>
      </c>
      <c r="M238" s="20" t="n">
        <v>0</v>
      </c>
      <c r="N238" s="20">
        <f>K238*0.08+L238*0.08</f>
        <v/>
      </c>
      <c r="O238" s="20">
        <f>-(K238*0.025+L238*0.025)</f>
        <v/>
      </c>
      <c r="P238" s="20">
        <f>32</f>
        <v/>
      </c>
      <c r="Q238" s="20">
        <f>J238+L238+N238+O238-P238-M238</f>
        <v/>
      </c>
    </row>
    <row r="239">
      <c r="A239" s="19" t="inlineStr">
        <is>
          <t>5.22-5.28</t>
        </is>
      </c>
      <c r="B239" s="19" t="inlineStr">
        <is>
          <t>PO-128-11755469530233114</t>
        </is>
      </c>
      <c r="C239" s="19" t="inlineStr">
        <is>
          <t>Shipped</t>
        </is>
      </c>
      <c r="D239" s="19" t="inlineStr">
        <is>
          <t>128-11755621573753114</t>
        </is>
      </c>
      <c r="E239" s="19" t="inlineStr">
        <is>
          <t>Shipped</t>
        </is>
      </c>
      <c r="F239" s="19" t="inlineStr">
        <is>
          <t>BS-01</t>
        </is>
      </c>
      <c r="G23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9" s="19" t="inlineStr">
        <is>
          <t>BS-01</t>
        </is>
      </c>
      <c r="I239" s="19" t="n">
        <v>1</v>
      </c>
      <c r="J239" s="20" t="n">
        <v>215</v>
      </c>
      <c r="K239" s="20" t="n">
        <v>253.6</v>
      </c>
      <c r="L239" s="20" t="n">
        <v>25.86</v>
      </c>
      <c r="M239" s="20" t="n">
        <v>0</v>
      </c>
      <c r="N239" s="20">
        <f>K239*0.08+L239*0.08</f>
        <v/>
      </c>
      <c r="O239" s="20">
        <f>-(K239*0.025+L239*0.025)</f>
        <v/>
      </c>
      <c r="P239" s="20">
        <f>32</f>
        <v/>
      </c>
      <c r="Q239" s="20">
        <f>J239+L239+N239+O239-P239-M239</f>
        <v/>
      </c>
    </row>
    <row r="240">
      <c r="A240" s="19" t="inlineStr">
        <is>
          <t>5.22-5.28</t>
        </is>
      </c>
      <c r="B240" s="19" t="inlineStr">
        <is>
          <t>PO-128-11961295009913040</t>
        </is>
      </c>
      <c r="C240" s="19" t="inlineStr">
        <is>
          <t>Shipped</t>
        </is>
      </c>
      <c r="D240" s="19" t="inlineStr">
        <is>
          <t>128-11961305495673040</t>
        </is>
      </c>
      <c r="E240" s="19" t="inlineStr">
        <is>
          <t>Shipped</t>
        </is>
      </c>
      <c r="F240" s="19" t="inlineStr">
        <is>
          <t>BS-01</t>
        </is>
      </c>
      <c r="G24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0" s="19" t="inlineStr">
        <is>
          <t>BS-01</t>
        </is>
      </c>
      <c r="I240" s="19" t="n">
        <v>2</v>
      </c>
      <c r="J240" s="20" t="n">
        <v>430</v>
      </c>
      <c r="K240" s="20" t="n">
        <v>507.2</v>
      </c>
      <c r="L240" s="20" t="n">
        <v>0</v>
      </c>
      <c r="M240" s="20" t="n">
        <v>0</v>
      </c>
      <c r="N240" s="20">
        <f>K240*0.08+L240*0.08</f>
        <v/>
      </c>
      <c r="O240" s="20">
        <f>-(K240*0.025+L240*0.025)</f>
        <v/>
      </c>
      <c r="P240" s="20">
        <f>32</f>
        <v/>
      </c>
      <c r="Q240" s="20">
        <f>J240+L240+N240+O240-P240-M240</f>
        <v/>
      </c>
    </row>
    <row r="241">
      <c r="A241" s="19" t="inlineStr">
        <is>
          <t>5.22-5.28</t>
        </is>
      </c>
      <c r="B241" s="19" t="inlineStr">
        <is>
          <t>PO-128-12180389627511542</t>
        </is>
      </c>
      <c r="C241" s="19" t="inlineStr">
        <is>
          <t>Shipped</t>
        </is>
      </c>
      <c r="D241" s="19" t="inlineStr">
        <is>
          <t>128-12180347684471542</t>
        </is>
      </c>
      <c r="E241" s="19" t="inlineStr">
        <is>
          <t>Shipped</t>
        </is>
      </c>
      <c r="F241" s="19" t="inlineStr">
        <is>
          <t>BS-01</t>
        </is>
      </c>
      <c r="G24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1" s="19" t="inlineStr">
        <is>
          <t>BS-01</t>
        </is>
      </c>
      <c r="I241" s="19" t="n">
        <v>1</v>
      </c>
      <c r="J241" s="20" t="n">
        <v>215</v>
      </c>
      <c r="K241" s="20" t="n">
        <v>253.6</v>
      </c>
      <c r="L241" s="20" t="n">
        <v>25.86</v>
      </c>
      <c r="M241" s="20" t="n">
        <v>0</v>
      </c>
      <c r="N241" s="20">
        <f>K241*0.08+L241*0.08</f>
        <v/>
      </c>
      <c r="O241" s="20">
        <f>-(K241*0.025+L241*0.025)</f>
        <v/>
      </c>
      <c r="P241" s="20">
        <f>32</f>
        <v/>
      </c>
      <c r="Q241" s="20">
        <f>J241+L241+N241+O241-P241-M241</f>
        <v/>
      </c>
    </row>
    <row r="242">
      <c r="A242" s="19" t="inlineStr">
        <is>
          <t>5.22-5.28</t>
        </is>
      </c>
      <c r="B242" s="19" t="inlineStr">
        <is>
          <t>PO-128-00721663355513411</t>
        </is>
      </c>
      <c r="C242" s="19" t="inlineStr">
        <is>
          <t>Shipped</t>
        </is>
      </c>
      <c r="D242" s="19" t="inlineStr">
        <is>
          <t>128-00721705298553411</t>
        </is>
      </c>
      <c r="E242" s="19" t="inlineStr">
        <is>
          <t>Shipped</t>
        </is>
      </c>
      <c r="F242" s="19" t="inlineStr">
        <is>
          <t>BS-01</t>
        </is>
      </c>
      <c r="G24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2" s="19" t="inlineStr">
        <is>
          <t>BS-01</t>
        </is>
      </c>
      <c r="I242" s="19" t="n">
        <v>1</v>
      </c>
      <c r="J242" s="20" t="n">
        <v>215</v>
      </c>
      <c r="K242" s="20" t="n">
        <v>253.6</v>
      </c>
      <c r="L242" s="20" t="n">
        <v>25.86</v>
      </c>
      <c r="M242" s="20" t="n">
        <v>0</v>
      </c>
      <c r="N242" s="20">
        <f>K242*0.08+L242*0.08</f>
        <v/>
      </c>
      <c r="O242" s="20">
        <f>-(K242*0.025+L242*0.025)</f>
        <v/>
      </c>
      <c r="P242" s="20">
        <f>32</f>
        <v/>
      </c>
      <c r="Q242" s="20">
        <f>J242+L242+N242+O242-P242-M242</f>
        <v/>
      </c>
    </row>
    <row r="243">
      <c r="A243" s="19" t="inlineStr">
        <is>
          <t>5.22-5.28</t>
        </is>
      </c>
      <c r="B243" s="19" t="inlineStr">
        <is>
          <t>PO-128-01150800906871877</t>
        </is>
      </c>
      <c r="C243" s="19" t="inlineStr">
        <is>
          <t>Shipped</t>
        </is>
      </c>
      <c r="D243" s="19" t="inlineStr">
        <is>
          <t>128-01150785178231877</t>
        </is>
      </c>
      <c r="E243" s="19" t="inlineStr">
        <is>
          <t>Shipped</t>
        </is>
      </c>
      <c r="F243" s="19" t="inlineStr">
        <is>
          <t>BS-01</t>
        </is>
      </c>
      <c r="G24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3" s="19" t="inlineStr">
        <is>
          <t>BS-01</t>
        </is>
      </c>
      <c r="I243" s="19" t="n">
        <v>1</v>
      </c>
      <c r="J243" s="20" t="n">
        <v>215</v>
      </c>
      <c r="K243" s="20" t="n">
        <v>253.6</v>
      </c>
      <c r="L243" s="20" t="n">
        <v>25.86</v>
      </c>
      <c r="M243" s="20" t="n">
        <v>0</v>
      </c>
      <c r="N243" s="20">
        <f>K243*0.08+L243*0.08</f>
        <v/>
      </c>
      <c r="O243" s="20">
        <f>-(K243*0.025+L243*0.025)</f>
        <v/>
      </c>
      <c r="P243" s="20">
        <f>32</f>
        <v/>
      </c>
      <c r="Q243" s="20">
        <f>J243+L243+N243+O243-P243-M243</f>
        <v/>
      </c>
    </row>
    <row r="244">
      <c r="A244" s="19" t="inlineStr">
        <is>
          <t>5.22-5.28</t>
        </is>
      </c>
      <c r="B244" s="19" t="inlineStr">
        <is>
          <t>PO-128-01032298803831430</t>
        </is>
      </c>
      <c r="C244" s="19" t="inlineStr">
        <is>
          <t>Shipped</t>
        </is>
      </c>
      <c r="D244" s="19" t="inlineStr">
        <is>
          <t>128-01032256860791430</t>
        </is>
      </c>
      <c r="E244" s="19" t="inlineStr">
        <is>
          <t>Shipped</t>
        </is>
      </c>
      <c r="F244" s="19" t="inlineStr">
        <is>
          <t>BS-01</t>
        </is>
      </c>
      <c r="G24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4" s="19" t="inlineStr">
        <is>
          <t>BS-01</t>
        </is>
      </c>
      <c r="I244" s="19" t="n">
        <v>1</v>
      </c>
      <c r="J244" s="20" t="n">
        <v>215</v>
      </c>
      <c r="K244" s="20" t="n">
        <v>253.6</v>
      </c>
      <c r="L244" s="20" t="n">
        <v>25.86</v>
      </c>
      <c r="M244" s="20" t="n">
        <v>0</v>
      </c>
      <c r="N244" s="20">
        <f>K244*0.08+L244*0.08</f>
        <v/>
      </c>
      <c r="O244" s="20">
        <f>-(K244*0.025+L244*0.025)</f>
        <v/>
      </c>
      <c r="P244" s="20">
        <f>32</f>
        <v/>
      </c>
      <c r="Q244" s="20">
        <f>J244+L244+N244+O244-P244-M244</f>
        <v/>
      </c>
    </row>
    <row r="245">
      <c r="A245" s="19" t="inlineStr">
        <is>
          <t>5.22-5.28</t>
        </is>
      </c>
      <c r="B245" s="19" t="inlineStr">
        <is>
          <t>PO-128-00913715343992264</t>
        </is>
      </c>
      <c r="C245" s="19" t="inlineStr">
        <is>
          <t>Shipped</t>
        </is>
      </c>
      <c r="D245" s="19" t="inlineStr">
        <is>
          <t>128-00913736315512264</t>
        </is>
      </c>
      <c r="E245" s="19" t="inlineStr">
        <is>
          <t>Shipped</t>
        </is>
      </c>
      <c r="F245" s="19" t="inlineStr">
        <is>
          <t>BS-01</t>
        </is>
      </c>
      <c r="G24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5" s="19" t="inlineStr">
        <is>
          <t>BS-01</t>
        </is>
      </c>
      <c r="I245" s="19" t="n">
        <v>1</v>
      </c>
      <c r="J245" s="20" t="n">
        <v>215</v>
      </c>
      <c r="K245" s="20" t="n">
        <v>253.6</v>
      </c>
      <c r="L245" s="20" t="n">
        <v>25.86</v>
      </c>
      <c r="M245" s="20" t="n">
        <v>0</v>
      </c>
      <c r="N245" s="20">
        <f>K245*0.08+L245*0.08</f>
        <v/>
      </c>
      <c r="O245" s="20">
        <f>-(K245*0.025+L245*0.025)</f>
        <v/>
      </c>
      <c r="P245" s="20">
        <f>32</f>
        <v/>
      </c>
      <c r="Q245" s="20">
        <f>J245+L245+N245+O245-P245-M245</f>
        <v/>
      </c>
    </row>
    <row r="246">
      <c r="A246" s="19" t="inlineStr">
        <is>
          <t>5.22-5.28</t>
        </is>
      </c>
      <c r="B246" s="19" t="inlineStr">
        <is>
          <t>PO-128-15838206679673421</t>
        </is>
      </c>
      <c r="C246" s="19" t="inlineStr">
        <is>
          <t>Delivered</t>
        </is>
      </c>
      <c r="D246" s="19" t="inlineStr">
        <is>
          <t>128-15838238136953421</t>
        </is>
      </c>
      <c r="E246" s="19" t="inlineStr">
        <is>
          <t>Delivered</t>
        </is>
      </c>
      <c r="F246" s="19" t="inlineStr">
        <is>
          <t>BS-01</t>
        </is>
      </c>
      <c r="G24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6" s="19" t="inlineStr">
        <is>
          <t>BS-01</t>
        </is>
      </c>
      <c r="I246" s="19" t="n">
        <v>1</v>
      </c>
      <c r="J246" s="20" t="n">
        <v>219</v>
      </c>
      <c r="K246" s="20" t="n">
        <v>257.6</v>
      </c>
      <c r="L246" s="20" t="n">
        <v>25.86</v>
      </c>
      <c r="M246" s="20" t="n">
        <v>0</v>
      </c>
      <c r="N246" s="20">
        <f>K246*0.08+L246*0.08</f>
        <v/>
      </c>
      <c r="O246" s="20">
        <f>-(K246*0.025+L246*0.025)</f>
        <v/>
      </c>
      <c r="P246" s="20">
        <f>32</f>
        <v/>
      </c>
      <c r="Q246" s="20">
        <f>J246+L246+N246+O246-P246-M246</f>
        <v/>
      </c>
    </row>
    <row r="247">
      <c r="A247" s="19" t="inlineStr">
        <is>
          <t>5.22-5.28</t>
        </is>
      </c>
      <c r="B247" s="19" t="inlineStr">
        <is>
          <t>PO-128-16243573013111965</t>
        </is>
      </c>
      <c r="C247" s="19" t="inlineStr">
        <is>
          <t>Delivered</t>
        </is>
      </c>
      <c r="D247" s="19" t="inlineStr">
        <is>
          <t>128-16243677870711965</t>
        </is>
      </c>
      <c r="E247" s="19" t="inlineStr">
        <is>
          <t>Delivered</t>
        </is>
      </c>
      <c r="F247" s="19" t="inlineStr">
        <is>
          <t>BS-01</t>
        </is>
      </c>
      <c r="G24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7" s="19" t="inlineStr">
        <is>
          <t>BS-01</t>
        </is>
      </c>
      <c r="I247" s="19" t="n">
        <v>1</v>
      </c>
      <c r="J247" s="20" t="n">
        <v>219</v>
      </c>
      <c r="K247" s="20" t="n">
        <v>257.6</v>
      </c>
      <c r="L247" s="20" t="n">
        <v>25.86</v>
      </c>
      <c r="M247" s="20" t="n">
        <v>0</v>
      </c>
      <c r="N247" s="20">
        <f>K247*0.08+L247*0.08</f>
        <v/>
      </c>
      <c r="O247" s="20">
        <f>-(K247*0.025+L247*0.025)</f>
        <v/>
      </c>
      <c r="P247" s="20">
        <f>32</f>
        <v/>
      </c>
      <c r="Q247" s="20">
        <f>J247+L247+N247+O247-P247-M247</f>
        <v/>
      </c>
    </row>
    <row r="248">
      <c r="A248" s="19" t="inlineStr">
        <is>
          <t>5.22-5.28</t>
        </is>
      </c>
      <c r="B248" s="19" t="inlineStr">
        <is>
          <t>PO-128-05012085379192348</t>
        </is>
      </c>
      <c r="C248" s="19" t="inlineStr">
        <is>
          <t>Delivered</t>
        </is>
      </c>
      <c r="D248" s="19" t="inlineStr">
        <is>
          <t>128-05012095864952348</t>
        </is>
      </c>
      <c r="E248" s="19" t="inlineStr">
        <is>
          <t>Delivered</t>
        </is>
      </c>
      <c r="F248" s="19" t="inlineStr">
        <is>
          <t>BS-01</t>
        </is>
      </c>
      <c r="G24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8" s="19" t="inlineStr">
        <is>
          <t>BS-01</t>
        </is>
      </c>
      <c r="I248" s="19" t="n">
        <v>1</v>
      </c>
      <c r="J248" s="20" t="n">
        <v>219</v>
      </c>
      <c r="K248" s="20" t="n">
        <v>257.6</v>
      </c>
      <c r="L248" s="20" t="n">
        <v>25.86</v>
      </c>
      <c r="M248" s="20" t="n">
        <v>0</v>
      </c>
      <c r="N248" s="20">
        <f>K248*0.08+L248*0.08</f>
        <v/>
      </c>
      <c r="O248" s="20">
        <f>-(K248*0.025+L248*0.025)</f>
        <v/>
      </c>
      <c r="P248" s="20">
        <f>32</f>
        <v/>
      </c>
      <c r="Q248" s="20">
        <f>J248+L248+N248+O248-P248-M248</f>
        <v/>
      </c>
    </row>
    <row r="249">
      <c r="A249" s="19" t="inlineStr">
        <is>
          <t>5.22-5.28</t>
        </is>
      </c>
      <c r="B249" s="19" t="inlineStr">
        <is>
          <t>PO-128-05086814661753057</t>
        </is>
      </c>
      <c r="C249" s="19" t="inlineStr">
        <is>
          <t>Delivered</t>
        </is>
      </c>
      <c r="D249" s="19" t="inlineStr">
        <is>
          <t>128-05086827768953057</t>
        </is>
      </c>
      <c r="E249" s="19" t="inlineStr">
        <is>
          <t>Delivered</t>
        </is>
      </c>
      <c r="F249" s="19" t="inlineStr">
        <is>
          <t>BS-01</t>
        </is>
      </c>
      <c r="G24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9" s="19" t="inlineStr">
        <is>
          <t>BS-01</t>
        </is>
      </c>
      <c r="I249" s="19" t="n">
        <v>1</v>
      </c>
      <c r="J249" s="20" t="n">
        <v>219</v>
      </c>
      <c r="K249" s="20" t="n">
        <v>257.6</v>
      </c>
      <c r="L249" s="20" t="n">
        <v>25.86</v>
      </c>
      <c r="M249" s="20" t="n">
        <v>0</v>
      </c>
      <c r="N249" s="20">
        <f>K249*0.08+L249*0.08</f>
        <v/>
      </c>
      <c r="O249" s="20">
        <f>-(K249*0.025+L249*0.025)</f>
        <v/>
      </c>
      <c r="P249" s="20">
        <f>32</f>
        <v/>
      </c>
      <c r="Q249" s="20">
        <f>J249+L249+N249+O249-P249-M249</f>
        <v/>
      </c>
    </row>
    <row r="250">
      <c r="A250" s="19" t="inlineStr">
        <is>
          <t>5.22-5.28</t>
        </is>
      </c>
      <c r="B250" s="19" t="inlineStr">
        <is>
          <t>PO-128-04963411484793598</t>
        </is>
      </c>
      <c r="C250" s="19" t="inlineStr">
        <is>
          <t>Delivered</t>
        </is>
      </c>
      <c r="D250" s="19" t="inlineStr">
        <is>
          <t>128-04963516342393598</t>
        </is>
      </c>
      <c r="E250" s="19" t="inlineStr">
        <is>
          <t>Delivered</t>
        </is>
      </c>
      <c r="F250" s="19" t="inlineStr">
        <is>
          <t>IE01MB</t>
        </is>
      </c>
      <c r="G250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50" s="19" t="inlineStr">
        <is>
          <t>1 pieza</t>
        </is>
      </c>
      <c r="I250" s="19" t="n">
        <v>1</v>
      </c>
      <c r="J250" s="20" t="n">
        <v>22</v>
      </c>
      <c r="K250" s="20" t="n">
        <v>25.05</v>
      </c>
      <c r="L250" s="20" t="n">
        <v>0</v>
      </c>
      <c r="M250" s="20" t="n">
        <v>0</v>
      </c>
      <c r="N250" s="20">
        <f>K250*0.08+L250*0.08</f>
        <v/>
      </c>
      <c r="O250" s="20">
        <f>-(K250*0.025+L250*0.025)</f>
        <v/>
      </c>
      <c r="P250" s="20">
        <f>32</f>
        <v/>
      </c>
      <c r="Q250" s="20">
        <f>J250+L250+N250+O250-P250-M250</f>
        <v/>
      </c>
    </row>
    <row r="251">
      <c r="A251" s="19" t="inlineStr">
        <is>
          <t>5.22-5.28</t>
        </is>
      </c>
      <c r="B251" s="19" t="inlineStr">
        <is>
          <t>PO-128-04963411484793598</t>
        </is>
      </c>
      <c r="C251" s="19" t="inlineStr">
        <is>
          <t>Delivered</t>
        </is>
      </c>
      <c r="D251" s="19" t="inlineStr">
        <is>
          <t>128-04963474399353598</t>
        </is>
      </c>
      <c r="E251" s="19" t="inlineStr">
        <is>
          <t>Delivered</t>
        </is>
      </c>
      <c r="F251" s="19" t="inlineStr">
        <is>
          <t>BS-01</t>
        </is>
      </c>
      <c r="G25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1" s="19" t="inlineStr">
        <is>
          <t>BS-01</t>
        </is>
      </c>
      <c r="I251" s="19" t="n">
        <v>1</v>
      </c>
      <c r="J251" s="20" t="n">
        <v>219</v>
      </c>
      <c r="K251" s="20" t="n">
        <v>257.6</v>
      </c>
      <c r="L251" s="20" t="n">
        <v>0</v>
      </c>
      <c r="M251" s="20" t="n">
        <v>0</v>
      </c>
      <c r="N251" s="20">
        <f>K251*0.08+L251*0.08</f>
        <v/>
      </c>
      <c r="O251" s="20">
        <f>-(K251*0.025+L251*0.025)</f>
        <v/>
      </c>
      <c r="P251" s="20">
        <f>32</f>
        <v/>
      </c>
      <c r="Q251" s="20">
        <f>J251+L251+N251+O251-P251-M251</f>
        <v/>
      </c>
    </row>
    <row r="252">
      <c r="A252" s="19" t="inlineStr">
        <is>
          <t>5.22-5.28</t>
        </is>
      </c>
      <c r="B252" s="19" t="inlineStr">
        <is>
          <t>PO-128-05117454677112744</t>
        </is>
      </c>
      <c r="C252" s="19" t="inlineStr">
        <is>
          <t>Delivered</t>
        </is>
      </c>
      <c r="D252" s="19" t="inlineStr">
        <is>
          <t>128-05117433705592744</t>
        </is>
      </c>
      <c r="E252" s="19" t="inlineStr">
        <is>
          <t>Delivered</t>
        </is>
      </c>
      <c r="F252" s="19" t="inlineStr">
        <is>
          <t>BS-01</t>
        </is>
      </c>
      <c r="G25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2" s="19" t="inlineStr">
        <is>
          <t>BS-01</t>
        </is>
      </c>
      <c r="I252" s="19" t="n">
        <v>1</v>
      </c>
      <c r="J252" s="20" t="n">
        <v>219</v>
      </c>
      <c r="K252" s="20" t="n">
        <v>257.6</v>
      </c>
      <c r="L252" s="20" t="n">
        <v>25.86</v>
      </c>
      <c r="M252" s="20" t="n">
        <v>0</v>
      </c>
      <c r="N252" s="20">
        <f>K252*0.08+L252*0.08</f>
        <v/>
      </c>
      <c r="O252" s="20">
        <f>-(K252*0.025+L252*0.025)</f>
        <v/>
      </c>
      <c r="P252" s="20">
        <f>32</f>
        <v/>
      </c>
      <c r="Q252" s="20">
        <f>J252+L252+N252+O252-P252-M252</f>
        <v/>
      </c>
    </row>
    <row r="253">
      <c r="A253" s="19" t="inlineStr">
        <is>
          <t>5.22-5.28</t>
        </is>
      </c>
      <c r="B253" s="19" t="inlineStr">
        <is>
          <t>PO-128-05053257462392105</t>
        </is>
      </c>
      <c r="C253" s="19" t="inlineStr">
        <is>
          <t>Delivered</t>
        </is>
      </c>
      <c r="D253" s="19" t="inlineStr">
        <is>
          <t>128-05053215519352105</t>
        </is>
      </c>
      <c r="E253" s="19" t="inlineStr">
        <is>
          <t>Delivered</t>
        </is>
      </c>
      <c r="F253" s="19" t="inlineStr">
        <is>
          <t>BS-01</t>
        </is>
      </c>
      <c r="G25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3" s="19" t="inlineStr">
        <is>
          <t>BS-01</t>
        </is>
      </c>
      <c r="I253" s="19" t="n">
        <v>1</v>
      </c>
      <c r="J253" s="20" t="n">
        <v>219</v>
      </c>
      <c r="K253" s="20" t="n">
        <v>257.6</v>
      </c>
      <c r="L253" s="20" t="n">
        <v>25.86</v>
      </c>
      <c r="M253" s="20" t="n">
        <v>0</v>
      </c>
      <c r="N253" s="20">
        <f>K253*0.08+L253*0.08</f>
        <v/>
      </c>
      <c r="O253" s="20">
        <f>-(K253*0.025+L253*0.025)</f>
        <v/>
      </c>
      <c r="P253" s="20">
        <f>32</f>
        <v/>
      </c>
      <c r="Q253" s="20">
        <f>J253+L253+N253+O253-P253-M253</f>
        <v/>
      </c>
    </row>
    <row r="254">
      <c r="A254" s="19" t="inlineStr">
        <is>
          <t>5.22-5.28</t>
        </is>
      </c>
      <c r="B254" s="19" t="inlineStr">
        <is>
          <t>PO-128-17699332488310390</t>
        </is>
      </c>
      <c r="C254" s="19" t="inlineStr">
        <is>
          <t>Delivered</t>
        </is>
      </c>
      <c r="D254" s="19" t="inlineStr">
        <is>
          <t>128-17699437345910390</t>
        </is>
      </c>
      <c r="E254" s="19" t="inlineStr">
        <is>
          <t>Delivered</t>
        </is>
      </c>
      <c r="F254" s="19" t="inlineStr">
        <is>
          <t>BS-09</t>
        </is>
      </c>
      <c r="G254" s="19" t="inlineStr">
        <is>
          <t>Altavoz de barra para PC con iluminación RGB, sonido de alta fidelidad y múltiples conexiones: Bluetooth, radio FM, USB, TF, AUX y TWS. Ideal para juegos, reuniones y cine en casa.</t>
        </is>
      </c>
      <c r="H254" s="19" t="inlineStr">
        <is>
          <t>NEGRO</t>
        </is>
      </c>
      <c r="I254" s="19" t="n">
        <v>1</v>
      </c>
      <c r="J254" s="20" t="n">
        <v>117.99</v>
      </c>
      <c r="K254" s="20" t="n">
        <v>63.6</v>
      </c>
      <c r="L254" s="20" t="n">
        <v>25.86</v>
      </c>
      <c r="M254" s="20" t="n">
        <v>0</v>
      </c>
      <c r="N254" s="20">
        <f>K254*0.08+L254*0.08</f>
        <v/>
      </c>
      <c r="O254" s="20">
        <f>-(K254*0.025+L254*0.025)</f>
        <v/>
      </c>
      <c r="P254" s="20">
        <f>32</f>
        <v/>
      </c>
      <c r="Q254" s="20">
        <f>J254+L254+N254+O254-P254-M254</f>
        <v/>
      </c>
    </row>
    <row r="255">
      <c r="A255" s="19" t="inlineStr">
        <is>
          <t>5.22-5.28</t>
        </is>
      </c>
      <c r="B255" s="19" t="inlineStr">
        <is>
          <t>PO-128-17599815534711113</t>
        </is>
      </c>
      <c r="C255" s="19" t="inlineStr">
        <is>
          <t>Delivered</t>
        </is>
      </c>
      <c r="D255" s="19" t="inlineStr">
        <is>
          <t>128-17599867963511113</t>
        </is>
      </c>
      <c r="E255" s="19" t="inlineStr">
        <is>
          <t>Delivered</t>
        </is>
      </c>
      <c r="F255" s="19" t="inlineStr">
        <is>
          <t>BS-01</t>
        </is>
      </c>
      <c r="G25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5" s="19" t="inlineStr">
        <is>
          <t>BS-01</t>
        </is>
      </c>
      <c r="I255" s="19" t="n">
        <v>1</v>
      </c>
      <c r="J255" s="20" t="n">
        <v>219</v>
      </c>
      <c r="K255" s="20" t="n">
        <v>257.6</v>
      </c>
      <c r="L255" s="20" t="n">
        <v>25.86</v>
      </c>
      <c r="M255" s="20" t="n">
        <v>0</v>
      </c>
      <c r="N255" s="20">
        <f>K255*0.08+L255*0.08</f>
        <v/>
      </c>
      <c r="O255" s="20">
        <f>-(K255*0.025+L255*0.025)</f>
        <v/>
      </c>
      <c r="P255" s="20">
        <f>32</f>
        <v/>
      </c>
      <c r="Q255" s="20">
        <f>J255+L255+N255+O255-P255-M255</f>
        <v/>
      </c>
    </row>
    <row r="256">
      <c r="A256" s="19" t="inlineStr">
        <is>
          <t>5.22-5.28</t>
        </is>
      </c>
      <c r="B256" s="19" t="inlineStr">
        <is>
          <t>PO-128-17843179589750751</t>
        </is>
      </c>
      <c r="C256" s="19" t="inlineStr">
        <is>
          <t>Delivered</t>
        </is>
      </c>
      <c r="D256" s="19" t="inlineStr">
        <is>
          <t>128-17843200561270751</t>
        </is>
      </c>
      <c r="E256" s="19" t="inlineStr">
        <is>
          <t>Delivered</t>
        </is>
      </c>
      <c r="F256" s="19" t="inlineStr">
        <is>
          <t>BS-01</t>
        </is>
      </c>
      <c r="G25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6" s="19" t="inlineStr">
        <is>
          <t>BS-01</t>
        </is>
      </c>
      <c r="I256" s="19" t="n">
        <v>1</v>
      </c>
      <c r="J256" s="20" t="n">
        <v>219</v>
      </c>
      <c r="K256" s="20" t="n">
        <v>171.39</v>
      </c>
      <c r="L256" s="20" t="n">
        <v>25.86</v>
      </c>
      <c r="M256" s="20" t="n">
        <v>0</v>
      </c>
      <c r="N256" s="20">
        <f>K256*0.08+L256*0.08</f>
        <v/>
      </c>
      <c r="O256" s="20">
        <f>-(K256*0.025+L256*0.025)</f>
        <v/>
      </c>
      <c r="P256" s="20">
        <f>32</f>
        <v/>
      </c>
      <c r="Q256" s="20">
        <f>J256+L256+N256+O256-P256-M256</f>
        <v/>
      </c>
    </row>
    <row r="257">
      <c r="A257" s="19" t="inlineStr">
        <is>
          <t>5.22-5.28</t>
        </is>
      </c>
      <c r="B257" s="19" t="inlineStr">
        <is>
          <t>PO-128-17714403228790492</t>
        </is>
      </c>
      <c r="C257" s="19" t="inlineStr">
        <is>
          <t>Delivered</t>
        </is>
      </c>
      <c r="D257" s="19" t="inlineStr">
        <is>
          <t>128-17714434686070492</t>
        </is>
      </c>
      <c r="E257" s="19" t="inlineStr">
        <is>
          <t>Delivered</t>
        </is>
      </c>
      <c r="F257" s="19" t="inlineStr">
        <is>
          <t>BS-01</t>
        </is>
      </c>
      <c r="G25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7" s="19" t="inlineStr">
        <is>
          <t>BS-01</t>
        </is>
      </c>
      <c r="I257" s="19" t="n">
        <v>1</v>
      </c>
      <c r="J257" s="20" t="n">
        <v>219</v>
      </c>
      <c r="K257" s="20" t="n">
        <v>257.6</v>
      </c>
      <c r="L257" s="20" t="n">
        <v>25.86</v>
      </c>
      <c r="M257" s="20" t="n">
        <v>0</v>
      </c>
      <c r="N257" s="20">
        <f>K257*0.08+L257*0.08</f>
        <v/>
      </c>
      <c r="O257" s="20">
        <f>-(K257*0.025+L257*0.025)</f>
        <v/>
      </c>
      <c r="P257" s="20">
        <f>32</f>
        <v/>
      </c>
      <c r="Q257" s="20">
        <f>J257+L257+N257+O257-P257-M257</f>
        <v/>
      </c>
    </row>
    <row r="258">
      <c r="A258" s="19" t="inlineStr">
        <is>
          <t>5.22-5.28</t>
        </is>
      </c>
      <c r="B258" s="19" t="inlineStr">
        <is>
          <t>PO-128-17274652467834010</t>
        </is>
      </c>
      <c r="C258" s="19" t="inlineStr">
        <is>
          <t>Delivered</t>
        </is>
      </c>
      <c r="D258" s="19" t="inlineStr">
        <is>
          <t>128-17274641982074010</t>
        </is>
      </c>
      <c r="E258" s="19" t="inlineStr">
        <is>
          <t>Delivered</t>
        </is>
      </c>
      <c r="F258" s="19" t="inlineStr">
        <is>
          <t>S-10302</t>
        </is>
      </c>
      <c r="G258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258" s="19" t="inlineStr">
        <is>
          <t>s-10302</t>
        </is>
      </c>
      <c r="I258" s="19" t="n">
        <v>1</v>
      </c>
      <c r="J258" s="20" t="n">
        <v>65</v>
      </c>
      <c r="K258" s="20" t="n">
        <v>76.90000000000001</v>
      </c>
      <c r="L258" s="20" t="n">
        <v>25.86</v>
      </c>
      <c r="M258" s="20" t="n">
        <v>0</v>
      </c>
      <c r="N258" s="20">
        <f>K258*0.08+L258*0.08</f>
        <v/>
      </c>
      <c r="O258" s="20">
        <f>-(K258*0.025+L258*0.025)</f>
        <v/>
      </c>
      <c r="P258" s="20">
        <f>32</f>
        <v/>
      </c>
      <c r="Q258" s="20">
        <f>J258+L258+N258+O258-P258-M258</f>
        <v/>
      </c>
    </row>
    <row r="259">
      <c r="A259" s="19" t="inlineStr">
        <is>
          <t>5.22-5.28</t>
        </is>
      </c>
      <c r="B259" s="19" t="inlineStr">
        <is>
          <t>PO-128-17194592164473529</t>
        </is>
      </c>
      <c r="C259" s="19" t="inlineStr">
        <is>
          <t>Delivered</t>
        </is>
      </c>
      <c r="D259" s="19" t="inlineStr">
        <is>
          <t>128-17194550221433529</t>
        </is>
      </c>
      <c r="E259" s="19" t="inlineStr">
        <is>
          <t>Delivered</t>
        </is>
      </c>
      <c r="F259" s="19" t="inlineStr">
        <is>
          <t>BS-01</t>
        </is>
      </c>
      <c r="G25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9" s="19" t="inlineStr">
        <is>
          <t>BS-01</t>
        </is>
      </c>
      <c r="I259" s="19" t="n">
        <v>1</v>
      </c>
      <c r="J259" s="20" t="n">
        <v>219</v>
      </c>
      <c r="K259" s="20" t="n">
        <v>257.6</v>
      </c>
      <c r="L259" s="20" t="n">
        <v>25.86</v>
      </c>
      <c r="M259" s="20" t="n">
        <v>0</v>
      </c>
      <c r="N259" s="20">
        <f>K259*0.08+L259*0.08</f>
        <v/>
      </c>
      <c r="O259" s="20">
        <f>-(K259*0.025+L259*0.025)</f>
        <v/>
      </c>
      <c r="P259" s="20">
        <f>32</f>
        <v/>
      </c>
      <c r="Q259" s="20">
        <f>J259+L259+N259+O259-P259-M259</f>
        <v/>
      </c>
    </row>
    <row r="260">
      <c r="A260" s="19" t="inlineStr">
        <is>
          <t>5.22-5.28</t>
        </is>
      </c>
      <c r="B260" s="19" t="inlineStr">
        <is>
          <t>PO-128-17451905147513019</t>
        </is>
      </c>
      <c r="C260" s="19" t="inlineStr">
        <is>
          <t>Delivered</t>
        </is>
      </c>
      <c r="D260" s="19" t="inlineStr">
        <is>
          <t>128-17451947090553019</t>
        </is>
      </c>
      <c r="E260" s="19" t="inlineStr">
        <is>
          <t>Delivered</t>
        </is>
      </c>
      <c r="F260" s="19" t="inlineStr">
        <is>
          <t>BS-01</t>
        </is>
      </c>
      <c r="G26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0" s="19" t="inlineStr">
        <is>
          <t>BS-01</t>
        </is>
      </c>
      <c r="I260" s="19" t="n">
        <v>2</v>
      </c>
      <c r="J260" s="20" t="n">
        <v>438</v>
      </c>
      <c r="K260" s="20" t="n">
        <v>515.2</v>
      </c>
      <c r="L260" s="20" t="n">
        <v>0</v>
      </c>
      <c r="M260" s="20" t="n">
        <v>0</v>
      </c>
      <c r="N260" s="20">
        <f>K260*0.08+L260*0.08</f>
        <v/>
      </c>
      <c r="O260" s="20">
        <f>-(K260*0.025+L260*0.025)</f>
        <v/>
      </c>
      <c r="P260" s="20">
        <f>32</f>
        <v/>
      </c>
      <c r="Q260" s="20">
        <f>J260+L260+N260+O260-P260-M260</f>
        <v/>
      </c>
    </row>
    <row r="261">
      <c r="A261" s="19" t="inlineStr">
        <is>
          <t>5.22-5.28</t>
        </is>
      </c>
      <c r="B261" s="19" t="inlineStr">
        <is>
          <t>PO-128-17465273042552875</t>
        </is>
      </c>
      <c r="C261" s="19" t="inlineStr">
        <is>
          <t>Delivered</t>
        </is>
      </c>
      <c r="D261" s="19" t="inlineStr">
        <is>
          <t>128-17465335957112875</t>
        </is>
      </c>
      <c r="E261" s="19" t="inlineStr">
        <is>
          <t>Delivered</t>
        </is>
      </c>
      <c r="F261" s="19" t="inlineStr">
        <is>
          <t>BS-01</t>
        </is>
      </c>
      <c r="G26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1" s="19" t="inlineStr">
        <is>
          <t>BS-01</t>
        </is>
      </c>
      <c r="I261" s="19" t="n">
        <v>1</v>
      </c>
      <c r="J261" s="20" t="n">
        <v>219</v>
      </c>
      <c r="K261" s="20" t="n">
        <v>1.93</v>
      </c>
      <c r="L261" s="20" t="n">
        <v>0</v>
      </c>
      <c r="M261" s="20" t="n">
        <v>0</v>
      </c>
      <c r="N261" s="20">
        <f>K261*0.08+L261*0.08</f>
        <v/>
      </c>
      <c r="O261" s="20">
        <f>-(K261*0.025+L261*0.025)</f>
        <v/>
      </c>
      <c r="P261" s="20">
        <f>32</f>
        <v/>
      </c>
      <c r="Q261" s="20">
        <f>J261+L261+N261+O261-P261-M261</f>
        <v/>
      </c>
    </row>
    <row r="262">
      <c r="A262" s="19" t="inlineStr">
        <is>
          <t>5.22-5.28</t>
        </is>
      </c>
      <c r="B262" s="19" t="inlineStr">
        <is>
          <t>PO-128-17465273042552875</t>
        </is>
      </c>
      <c r="C262" s="19" t="inlineStr">
        <is>
          <t>Delivered</t>
        </is>
      </c>
      <c r="D262" s="19" t="inlineStr">
        <is>
          <t>128-17465377900152875</t>
        </is>
      </c>
      <c r="E262" s="19" t="inlineStr">
        <is>
          <t>Delivered</t>
        </is>
      </c>
      <c r="F262" s="19" t="inlineStr">
        <is>
          <t>GA01UN</t>
        </is>
      </c>
      <c r="G262" s="19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H262" s="19" t="inlineStr">
        <is>
          <t>1 pieza</t>
        </is>
      </c>
      <c r="I262" s="19" t="n">
        <v>1</v>
      </c>
      <c r="J262" s="20" t="n">
        <v>29</v>
      </c>
      <c r="K262" s="20" t="n">
        <v>0.28</v>
      </c>
      <c r="L262" s="20" t="n">
        <v>0</v>
      </c>
      <c r="M262" s="20" t="n">
        <v>0</v>
      </c>
      <c r="N262" s="20">
        <f>K262*0.08+L262*0.08</f>
        <v/>
      </c>
      <c r="O262" s="20">
        <f>-(K262*0.025+L262*0.025)</f>
        <v/>
      </c>
      <c r="P262" s="20">
        <f>32</f>
        <v/>
      </c>
      <c r="Q262" s="20">
        <f>J262+L262+N262+O262-P262-M262</f>
        <v/>
      </c>
    </row>
    <row r="263">
      <c r="A263" s="19" t="inlineStr">
        <is>
          <t>5.22-5.28</t>
        </is>
      </c>
      <c r="B263" s="19" t="inlineStr">
        <is>
          <t>PO-128-17800799381111003</t>
        </is>
      </c>
      <c r="C263" s="19" t="inlineStr">
        <is>
          <t>Delivered</t>
        </is>
      </c>
      <c r="D263" s="19" t="inlineStr">
        <is>
          <t>128-17800846567031003</t>
        </is>
      </c>
      <c r="E263" s="19" t="inlineStr">
        <is>
          <t>Delivered</t>
        </is>
      </c>
      <c r="F263" s="19" t="inlineStr">
        <is>
          <t>BS-01</t>
        </is>
      </c>
      <c r="G26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3" s="19" t="inlineStr">
        <is>
          <t>BS-01</t>
        </is>
      </c>
      <c r="I263" s="19" t="n">
        <v>1</v>
      </c>
      <c r="J263" s="20" t="n">
        <v>219</v>
      </c>
      <c r="K263" s="20" t="n">
        <v>231.82</v>
      </c>
      <c r="L263" s="20" t="n">
        <v>25.86</v>
      </c>
      <c r="M263" s="20" t="n">
        <v>0</v>
      </c>
      <c r="N263" s="20">
        <f>K263*0.08+L263*0.08</f>
        <v/>
      </c>
      <c r="O263" s="20">
        <f>-(K263*0.025+L263*0.025)</f>
        <v/>
      </c>
      <c r="P263" s="20">
        <f>32</f>
        <v/>
      </c>
      <c r="Q263" s="20">
        <f>J263+L263+N263+O263-P263-M263</f>
        <v/>
      </c>
    </row>
    <row r="264">
      <c r="A264" s="19" t="inlineStr">
        <is>
          <t>5.22-5.28</t>
        </is>
      </c>
      <c r="B264" s="19" t="inlineStr">
        <is>
          <t>PO-128-06381626752632315</t>
        </is>
      </c>
      <c r="C264" s="19" t="inlineStr">
        <is>
          <t>Delivered</t>
        </is>
      </c>
      <c r="D264" s="19" t="inlineStr">
        <is>
          <t>128-06381668695672315</t>
        </is>
      </c>
      <c r="E264" s="19" t="inlineStr">
        <is>
          <t>Delivered</t>
        </is>
      </c>
      <c r="F264" s="19" t="inlineStr">
        <is>
          <t>BS-09</t>
        </is>
      </c>
      <c r="G264" s="19" t="inlineStr">
        <is>
          <t>Altavoz de barra para PC con iluminación RGB, sonido de alta fidelidad y múltiples conexiones: Bluetooth, radio FM, USB, TF, AUX y TWS. Ideal para juegos, reuniones y cine en casa.</t>
        </is>
      </c>
      <c r="H264" s="19" t="inlineStr">
        <is>
          <t>NEGRO</t>
        </is>
      </c>
      <c r="I264" s="19" t="n">
        <v>1</v>
      </c>
      <c r="J264" s="20" t="n">
        <v>117.99</v>
      </c>
      <c r="K264" s="20" t="n">
        <v>146.36</v>
      </c>
      <c r="L264" s="20" t="n">
        <v>25.86</v>
      </c>
      <c r="M264" s="20" t="n">
        <v>0</v>
      </c>
      <c r="N264" s="20">
        <f>K264*0.08+L264*0.08</f>
        <v/>
      </c>
      <c r="O264" s="20">
        <f>-(K264*0.025+L264*0.025)</f>
        <v/>
      </c>
      <c r="P264" s="20">
        <f>32</f>
        <v/>
      </c>
      <c r="Q264" s="20">
        <f>J264+L264+N264+O264-P264-M264</f>
        <v/>
      </c>
    </row>
    <row r="265">
      <c r="A265" s="19" t="inlineStr">
        <is>
          <t>5.22-5.28</t>
        </is>
      </c>
      <c r="B265" s="19" t="inlineStr">
        <is>
          <t>PO-128-06676846623351771</t>
        </is>
      </c>
      <c r="C265" s="19" t="inlineStr">
        <is>
          <t>Delivered</t>
        </is>
      </c>
      <c r="D265" s="19" t="inlineStr">
        <is>
          <t>128-06676899052151771</t>
        </is>
      </c>
      <c r="E265" s="19" t="inlineStr">
        <is>
          <t>Delivered</t>
        </is>
      </c>
      <c r="F265" s="19" t="inlineStr">
        <is>
          <t>BS-09</t>
        </is>
      </c>
      <c r="G265" s="19" t="inlineStr">
        <is>
          <t>Altavoz de barra para PC con iluminación RGB, sonido de alta fidelidad y múltiples conexiones: Bluetooth, radio FM, USB, TF, AUX y TWS. Ideal para juegos, reuniones y cine en casa.</t>
        </is>
      </c>
      <c r="H265" s="19" t="inlineStr">
        <is>
          <t>NEGRO</t>
        </is>
      </c>
      <c r="I265" s="19" t="n">
        <v>1</v>
      </c>
      <c r="J265" s="20" t="n">
        <v>117.99</v>
      </c>
      <c r="K265" s="20" t="n">
        <v>146.36</v>
      </c>
      <c r="L265" s="20" t="n">
        <v>25.86</v>
      </c>
      <c r="M265" s="20" t="n">
        <v>0</v>
      </c>
      <c r="N265" s="20">
        <f>K265*0.08+L265*0.08</f>
        <v/>
      </c>
      <c r="O265" s="20">
        <f>-(K265*0.025+L265*0.025)</f>
        <v/>
      </c>
      <c r="P265" s="20">
        <f>32</f>
        <v/>
      </c>
      <c r="Q265" s="20">
        <f>J265+L265+N265+O265-P265-M265</f>
        <v/>
      </c>
    </row>
    <row r="266">
      <c r="A266" s="19" t="inlineStr">
        <is>
          <t>5.22-5.28</t>
        </is>
      </c>
      <c r="B266" s="19" t="inlineStr">
        <is>
          <t>PO-128-06488951086712699</t>
        </is>
      </c>
      <c r="C266" s="19" t="inlineStr">
        <is>
          <t>Delivered</t>
        </is>
      </c>
      <c r="D266" s="19" t="inlineStr">
        <is>
          <t>128-06488972058232699</t>
        </is>
      </c>
      <c r="E266" s="19" t="inlineStr">
        <is>
          <t>Delivered</t>
        </is>
      </c>
      <c r="F266" s="19" t="inlineStr">
        <is>
          <t>BS-09</t>
        </is>
      </c>
      <c r="G266" s="19" t="inlineStr">
        <is>
          <t>Altavoz de barra para PC con iluminación RGB, sonido de alta fidelidad y múltiples conexiones: Bluetooth, radio FM, USB, TF, AUX y TWS. Ideal para juegos, reuniones y cine en casa.</t>
        </is>
      </c>
      <c r="H266" s="19" t="inlineStr">
        <is>
          <t>NEGRO</t>
        </is>
      </c>
      <c r="I266" s="19" t="n">
        <v>2</v>
      </c>
      <c r="J266" s="20" t="n">
        <v>235.98</v>
      </c>
      <c r="K266" s="20" t="n">
        <v>292.72</v>
      </c>
      <c r="L266" s="20" t="n">
        <v>0</v>
      </c>
      <c r="M266" s="20" t="n">
        <v>0</v>
      </c>
      <c r="N266" s="20">
        <f>K266*0.08+L266*0.08</f>
        <v/>
      </c>
      <c r="O266" s="20">
        <f>-(K266*0.025+L266*0.025)</f>
        <v/>
      </c>
      <c r="P266" s="20">
        <f>32</f>
        <v/>
      </c>
      <c r="Q266" s="20">
        <f>J266+L266+N266+O266-P266-M266</f>
        <v/>
      </c>
    </row>
    <row r="267">
      <c r="A267" s="19" t="inlineStr">
        <is>
          <t>5.22-5.28</t>
        </is>
      </c>
      <c r="B267" s="19" t="inlineStr">
        <is>
          <t>PO-128-06262657403513150</t>
        </is>
      </c>
      <c r="C267" s="19" t="inlineStr">
        <is>
          <t>Delivered</t>
        </is>
      </c>
      <c r="D267" s="19" t="inlineStr">
        <is>
          <t>128-06262667889273150</t>
        </is>
      </c>
      <c r="E267" s="19" t="inlineStr">
        <is>
          <t>Delivered</t>
        </is>
      </c>
      <c r="F267" s="19" t="inlineStr">
        <is>
          <t>BS-01</t>
        </is>
      </c>
      <c r="G26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7" s="19" t="inlineStr">
        <is>
          <t>BS-01</t>
        </is>
      </c>
      <c r="I267" s="19" t="n">
        <v>1</v>
      </c>
      <c r="J267" s="20" t="n">
        <v>219</v>
      </c>
      <c r="K267" s="20" t="n">
        <v>257.6</v>
      </c>
      <c r="L267" s="20" t="n">
        <v>25.86</v>
      </c>
      <c r="M267" s="20" t="n">
        <v>0</v>
      </c>
      <c r="N267" s="20">
        <f>K267*0.08+L267*0.08</f>
        <v/>
      </c>
      <c r="O267" s="20">
        <f>-(K267*0.025+L267*0.025)</f>
        <v/>
      </c>
      <c r="P267" s="20">
        <f>32</f>
        <v/>
      </c>
      <c r="Q267" s="20">
        <f>J267+L267+N267+O267-P267-M267</f>
        <v/>
      </c>
    </row>
    <row r="268">
      <c r="A268" s="19" t="inlineStr">
        <is>
          <t>5.22-5.28</t>
        </is>
      </c>
      <c r="B268" s="19" t="inlineStr">
        <is>
          <t>PO-128-06669944940151749</t>
        </is>
      </c>
      <c r="C268" s="19" t="inlineStr">
        <is>
          <t>Delivered</t>
        </is>
      </c>
      <c r="D268" s="19" t="inlineStr">
        <is>
          <t>128-06669923968631749</t>
        </is>
      </c>
      <c r="E268" s="19" t="inlineStr">
        <is>
          <t>Delivered</t>
        </is>
      </c>
      <c r="F268" s="19" t="inlineStr">
        <is>
          <t>BS-01</t>
        </is>
      </c>
      <c r="G26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8" s="19" t="inlineStr">
        <is>
          <t>BS-01</t>
        </is>
      </c>
      <c r="I268" s="19" t="n">
        <v>1</v>
      </c>
      <c r="J268" s="20" t="n">
        <v>219</v>
      </c>
      <c r="K268" s="20" t="n">
        <v>257.6</v>
      </c>
      <c r="L268" s="20" t="n">
        <v>25.86</v>
      </c>
      <c r="M268" s="20" t="n">
        <v>0</v>
      </c>
      <c r="N268" s="20">
        <f>K268*0.08+L268*0.08</f>
        <v/>
      </c>
      <c r="O268" s="20">
        <f>-(K268*0.025+L268*0.025)</f>
        <v/>
      </c>
      <c r="P268" s="20">
        <f>32</f>
        <v/>
      </c>
      <c r="Q268" s="20">
        <f>J268+L268+N268+O268-P268-M268</f>
        <v/>
      </c>
    </row>
    <row r="269">
      <c r="A269" s="19" t="inlineStr">
        <is>
          <t>5.22-5.28</t>
        </is>
      </c>
      <c r="B269" s="19" t="inlineStr">
        <is>
          <t>PO-128-06865484723830583</t>
        </is>
      </c>
      <c r="C269" s="19" t="inlineStr">
        <is>
          <t>Delivered</t>
        </is>
      </c>
      <c r="D269" s="19" t="inlineStr">
        <is>
          <t>128-06865526666870583</t>
        </is>
      </c>
      <c r="E269" s="19" t="inlineStr">
        <is>
          <t>Delivered</t>
        </is>
      </c>
      <c r="F269" s="19" t="inlineStr">
        <is>
          <t>BS-01</t>
        </is>
      </c>
      <c r="G26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9" s="19" t="inlineStr">
        <is>
          <t>BS-01</t>
        </is>
      </c>
      <c r="I269" s="19" t="n">
        <v>1</v>
      </c>
      <c r="J269" s="20" t="n">
        <v>219</v>
      </c>
      <c r="K269" s="20" t="n">
        <v>257.6</v>
      </c>
      <c r="L269" s="20" t="n">
        <v>25.86</v>
      </c>
      <c r="M269" s="20" t="n">
        <v>0</v>
      </c>
      <c r="N269" s="20">
        <f>K269*0.08+L269*0.08</f>
        <v/>
      </c>
      <c r="O269" s="20">
        <f>-(K269*0.025+L269*0.025)</f>
        <v/>
      </c>
      <c r="P269" s="20">
        <f>32</f>
        <v/>
      </c>
      <c r="Q269" s="20">
        <f>J269+L269+N269+O269-P269-M269</f>
        <v/>
      </c>
    </row>
    <row r="270">
      <c r="A270" s="19" t="inlineStr">
        <is>
          <t>5.22-5.28</t>
        </is>
      </c>
      <c r="B270" s="19" t="inlineStr">
        <is>
          <t>PO-128-06786748252790922</t>
        </is>
      </c>
      <c r="C270" s="19" t="inlineStr">
        <is>
          <t>Delivered</t>
        </is>
      </c>
      <c r="D270" s="19" t="inlineStr">
        <is>
          <t>128-06786732524150922</t>
        </is>
      </c>
      <c r="E270" s="19" t="inlineStr">
        <is>
          <t>Delivered</t>
        </is>
      </c>
      <c r="F270" s="19" t="inlineStr">
        <is>
          <t>BS-01</t>
        </is>
      </c>
      <c r="G27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0" s="19" t="inlineStr">
        <is>
          <t>BS-01</t>
        </is>
      </c>
      <c r="I270" s="19" t="n">
        <v>1</v>
      </c>
      <c r="J270" s="20" t="n">
        <v>219</v>
      </c>
      <c r="K270" s="20" t="n">
        <v>251.27</v>
      </c>
      <c r="L270" s="20" t="n">
        <v>25.86</v>
      </c>
      <c r="M270" s="20" t="n">
        <v>0</v>
      </c>
      <c r="N270" s="20">
        <f>K270*0.08+L270*0.08</f>
        <v/>
      </c>
      <c r="O270" s="20">
        <f>-(K270*0.025+L270*0.025)</f>
        <v/>
      </c>
      <c r="P270" s="20">
        <f>32</f>
        <v/>
      </c>
      <c r="Q270" s="20">
        <f>J270+L270+N270+O270-P270-M270</f>
        <v/>
      </c>
    </row>
    <row r="271">
      <c r="A271" s="19" t="inlineStr">
        <is>
          <t>5.22-5.28</t>
        </is>
      </c>
      <c r="B271" s="19" t="inlineStr">
        <is>
          <t>PO-128-06810735253110781</t>
        </is>
      </c>
      <c r="C271" s="19" t="inlineStr">
        <is>
          <t>Delivered</t>
        </is>
      </c>
      <c r="D271" s="19" t="inlineStr">
        <is>
          <t>128-06810748360310781</t>
        </is>
      </c>
      <c r="E271" s="19" t="inlineStr">
        <is>
          <t>Delivered</t>
        </is>
      </c>
      <c r="F271" s="19" t="inlineStr">
        <is>
          <t>BS-01</t>
        </is>
      </c>
      <c r="G27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1" s="19" t="inlineStr">
        <is>
          <t>BS-01</t>
        </is>
      </c>
      <c r="I271" s="19" t="n">
        <v>1</v>
      </c>
      <c r="J271" s="20" t="n">
        <v>215</v>
      </c>
      <c r="K271" s="20" t="n">
        <v>253.6</v>
      </c>
      <c r="L271" s="20" t="n">
        <v>25.86</v>
      </c>
      <c r="M271" s="20" t="n">
        <v>0</v>
      </c>
      <c r="N271" s="20">
        <f>K271*0.08+L271*0.08</f>
        <v/>
      </c>
      <c r="O271" s="20">
        <f>-(K271*0.025+L271*0.025)</f>
        <v/>
      </c>
      <c r="P271" s="20">
        <f>32</f>
        <v/>
      </c>
      <c r="Q271" s="20">
        <f>J271+L271+N271+O271-P271-M271</f>
        <v/>
      </c>
    </row>
    <row r="272">
      <c r="A272" s="19" t="inlineStr">
        <is>
          <t>5.22-5.28</t>
        </is>
      </c>
      <c r="B272" s="19" t="inlineStr">
        <is>
          <t>PO-128-06813389865590828</t>
        </is>
      </c>
      <c r="C272" s="19" t="inlineStr">
        <is>
          <t>Delivered</t>
        </is>
      </c>
      <c r="D272" s="19" t="inlineStr">
        <is>
          <t>128-06813379379830828</t>
        </is>
      </c>
      <c r="E272" s="19" t="inlineStr">
        <is>
          <t>Delivered</t>
        </is>
      </c>
      <c r="F272" s="19" t="inlineStr">
        <is>
          <t>BS-01</t>
        </is>
      </c>
      <c r="G27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2" s="19" t="inlineStr">
        <is>
          <t>BS-01</t>
        </is>
      </c>
      <c r="I272" s="19" t="n">
        <v>1</v>
      </c>
      <c r="J272" s="20" t="n">
        <v>215</v>
      </c>
      <c r="K272" s="20" t="n">
        <v>253.6</v>
      </c>
      <c r="L272" s="20" t="n">
        <v>25.86</v>
      </c>
      <c r="M272" s="20" t="n">
        <v>0</v>
      </c>
      <c r="N272" s="20">
        <f>K272*0.08+L272*0.08</f>
        <v/>
      </c>
      <c r="O272" s="20">
        <f>-(K272*0.025+L272*0.025)</f>
        <v/>
      </c>
      <c r="P272" s="20">
        <f>32</f>
        <v/>
      </c>
      <c r="Q272" s="20">
        <f>J272+L272+N272+O272-P272-M272</f>
        <v/>
      </c>
    </row>
    <row r="273">
      <c r="A273" s="19" t="inlineStr">
        <is>
          <t>5.22-5.28</t>
        </is>
      </c>
      <c r="B273" s="19" t="inlineStr">
        <is>
          <t>PO-128-06661870904951669</t>
        </is>
      </c>
      <c r="C273" s="19" t="inlineStr">
        <is>
          <t>Delivered</t>
        </is>
      </c>
      <c r="D273" s="19" t="inlineStr">
        <is>
          <t>128-06661881390711669</t>
        </is>
      </c>
      <c r="E273" s="19" t="inlineStr">
        <is>
          <t>Delivered</t>
        </is>
      </c>
      <c r="F273" s="19" t="inlineStr">
        <is>
          <t>BS-01</t>
        </is>
      </c>
      <c r="G27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3" s="19" t="inlineStr">
        <is>
          <t>BS-01</t>
        </is>
      </c>
      <c r="I273" s="19" t="n">
        <v>1</v>
      </c>
      <c r="J273" s="20" t="n">
        <v>215</v>
      </c>
      <c r="K273" s="20" t="n">
        <v>253.6</v>
      </c>
      <c r="L273" s="20" t="n">
        <v>25.86</v>
      </c>
      <c r="M273" s="20" t="n">
        <v>0</v>
      </c>
      <c r="N273" s="20">
        <f>K273*0.08+L273*0.08</f>
        <v/>
      </c>
      <c r="O273" s="20">
        <f>-(K273*0.025+L273*0.025)</f>
        <v/>
      </c>
      <c r="P273" s="20">
        <f>32</f>
        <v/>
      </c>
      <c r="Q273" s="20">
        <f>J273+L273+N273+O273-P273-M273</f>
        <v/>
      </c>
    </row>
    <row r="274">
      <c r="A274" s="19" t="inlineStr">
        <is>
          <t>5.22-5.28</t>
        </is>
      </c>
      <c r="B274" s="19" t="inlineStr">
        <is>
          <t>PO-128-06522892329592625</t>
        </is>
      </c>
      <c r="C274" s="19" t="inlineStr">
        <is>
          <t>Delivered</t>
        </is>
      </c>
      <c r="D274" s="19" t="inlineStr">
        <is>
          <t>128-06522934272632625</t>
        </is>
      </c>
      <c r="E274" s="19" t="inlineStr">
        <is>
          <t>Delivered</t>
        </is>
      </c>
      <c r="F274" s="19" t="inlineStr">
        <is>
          <t>BS-01</t>
        </is>
      </c>
      <c r="G27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4" s="19" t="inlineStr">
        <is>
          <t>BS-01</t>
        </is>
      </c>
      <c r="I274" s="19" t="n">
        <v>2</v>
      </c>
      <c r="J274" s="20" t="n">
        <v>430</v>
      </c>
      <c r="K274" s="20" t="n">
        <v>507.2</v>
      </c>
      <c r="L274" s="20" t="n">
        <v>0</v>
      </c>
      <c r="M274" s="20" t="n">
        <v>0</v>
      </c>
      <c r="N274" s="20">
        <f>K274*0.08+L274*0.08</f>
        <v/>
      </c>
      <c r="O274" s="20">
        <f>-(K274*0.025+L274*0.025)</f>
        <v/>
      </c>
      <c r="P274" s="20">
        <f>32</f>
        <v/>
      </c>
      <c r="Q274" s="20">
        <f>J274+L274+N274+O274-P274-M274</f>
        <v/>
      </c>
    </row>
    <row r="275">
      <c r="A275" s="19" t="inlineStr">
        <is>
          <t>5.22-5.28</t>
        </is>
      </c>
      <c r="B275" s="19" t="inlineStr">
        <is>
          <t>PO-128-06849688904310741</t>
        </is>
      </c>
      <c r="C275" s="19" t="inlineStr">
        <is>
          <t>Delivered</t>
        </is>
      </c>
      <c r="D275" s="19" t="inlineStr">
        <is>
          <t>128-06849699390070741</t>
        </is>
      </c>
      <c r="E275" s="19" t="inlineStr">
        <is>
          <t>Delivered</t>
        </is>
      </c>
      <c r="F275" s="19" t="inlineStr">
        <is>
          <t>BS-01</t>
        </is>
      </c>
      <c r="G27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5" s="19" t="inlineStr">
        <is>
          <t>BS-01</t>
        </is>
      </c>
      <c r="I275" s="19" t="n">
        <v>1</v>
      </c>
      <c r="J275" s="20" t="n">
        <v>215</v>
      </c>
      <c r="K275" s="20" t="n">
        <v>179.1</v>
      </c>
      <c r="L275" s="20" t="n">
        <v>25.86</v>
      </c>
      <c r="M275" s="20" t="n">
        <v>0</v>
      </c>
      <c r="N275" s="20">
        <f>K275*0.08+L275*0.08</f>
        <v/>
      </c>
      <c r="O275" s="20">
        <f>-(K275*0.025+L275*0.025)</f>
        <v/>
      </c>
      <c r="P275" s="20">
        <f>32</f>
        <v/>
      </c>
      <c r="Q275" s="20">
        <f>J275+L275+N275+O275-P275-M275</f>
        <v/>
      </c>
    </row>
    <row r="276">
      <c r="A276" s="19" t="inlineStr">
        <is>
          <t>5.22-5.28</t>
        </is>
      </c>
      <c r="B276" s="19" t="inlineStr">
        <is>
          <t>PO-128-06468395628152820</t>
        </is>
      </c>
      <c r="C276" s="19" t="inlineStr">
        <is>
          <t>Delivered</t>
        </is>
      </c>
      <c r="D276" s="19" t="inlineStr">
        <is>
          <t>128-06468416599672820</t>
        </is>
      </c>
      <c r="E276" s="19" t="inlineStr">
        <is>
          <t>Delivered</t>
        </is>
      </c>
      <c r="F276" s="19" t="inlineStr">
        <is>
          <t>BS-01</t>
        </is>
      </c>
      <c r="G27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6" s="19" t="inlineStr">
        <is>
          <t>BS-01</t>
        </is>
      </c>
      <c r="I276" s="19" t="n">
        <v>1</v>
      </c>
      <c r="J276" s="20" t="n">
        <v>215</v>
      </c>
      <c r="K276" s="20" t="n">
        <v>253.6</v>
      </c>
      <c r="L276" s="20" t="n">
        <v>25.86</v>
      </c>
      <c r="M276" s="20" t="n">
        <v>0</v>
      </c>
      <c r="N276" s="20">
        <f>K276*0.08+L276*0.08</f>
        <v/>
      </c>
      <c r="O276" s="20">
        <f>-(K276*0.025+L276*0.025)</f>
        <v/>
      </c>
      <c r="P276" s="20">
        <f>32</f>
        <v/>
      </c>
      <c r="Q276" s="20">
        <f>J276+L276+N276+O276-P276-M276</f>
        <v/>
      </c>
    </row>
    <row r="277">
      <c r="A277" s="19" t="inlineStr">
        <is>
          <t>5.22-5.28</t>
        </is>
      </c>
      <c r="B277" s="19" t="inlineStr">
        <is>
          <t>PO-128-06736728295030324</t>
        </is>
      </c>
      <c r="C277" s="19" t="inlineStr">
        <is>
          <t>Delivered</t>
        </is>
      </c>
      <c r="D277" s="19" t="inlineStr">
        <is>
          <t>128-06736888202870324</t>
        </is>
      </c>
      <c r="E277" s="19" t="inlineStr">
        <is>
          <t>Delivered</t>
        </is>
      </c>
      <c r="F277" s="19" t="inlineStr">
        <is>
          <t>BS-01</t>
        </is>
      </c>
      <c r="G27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7" s="19" t="inlineStr">
        <is>
          <t>BS-01</t>
        </is>
      </c>
      <c r="I277" s="19" t="n">
        <v>1</v>
      </c>
      <c r="J277" s="20" t="n">
        <v>215</v>
      </c>
      <c r="K277" s="20" t="n">
        <v>253.6</v>
      </c>
      <c r="L277" s="20" t="n">
        <v>25.86</v>
      </c>
      <c r="M277" s="20" t="n">
        <v>0</v>
      </c>
      <c r="N277" s="20">
        <f>K277*0.08+L277*0.08</f>
        <v/>
      </c>
      <c r="O277" s="20">
        <f>-(K277*0.025+L277*0.025)</f>
        <v/>
      </c>
      <c r="P277" s="20">
        <f>32</f>
        <v/>
      </c>
      <c r="Q277" s="20">
        <f>J277+L277+N277+O277-P277-M277</f>
        <v/>
      </c>
    </row>
    <row r="278">
      <c r="A278" s="19" t="inlineStr">
        <is>
          <t>5.22-5.28</t>
        </is>
      </c>
      <c r="B278" s="19" t="inlineStr">
        <is>
          <t>PO-128-11850488420473700</t>
        </is>
      </c>
      <c r="C278" s="19" t="inlineStr">
        <is>
          <t>Delivered</t>
        </is>
      </c>
      <c r="D278" s="19" t="inlineStr">
        <is>
          <t>128-11850467448953700</t>
        </is>
      </c>
      <c r="E278" s="19" t="inlineStr">
        <is>
          <t>Delivered</t>
        </is>
      </c>
      <c r="F278" s="19" t="inlineStr">
        <is>
          <t>BS-01</t>
        </is>
      </c>
      <c r="G27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8" s="19" t="inlineStr">
        <is>
          <t>BS-01</t>
        </is>
      </c>
      <c r="I278" s="19" t="n">
        <v>1</v>
      </c>
      <c r="J278" s="20" t="n">
        <v>215</v>
      </c>
      <c r="K278" s="20" t="n">
        <v>202.89</v>
      </c>
      <c r="L278" s="20" t="n">
        <v>25.86</v>
      </c>
      <c r="M278" s="20" t="n">
        <v>0</v>
      </c>
      <c r="N278" s="20">
        <f>K278*0.08+L278*0.08</f>
        <v/>
      </c>
      <c r="O278" s="20">
        <f>-(K278*0.025+L278*0.025)</f>
        <v/>
      </c>
      <c r="P278" s="20">
        <f>32</f>
        <v/>
      </c>
      <c r="Q278" s="20">
        <f>J278+L278+N278+O278-P278-M278</f>
        <v/>
      </c>
    </row>
    <row r="279">
      <c r="A279" s="19" t="inlineStr">
        <is>
          <t>5.22-5.28</t>
        </is>
      </c>
      <c r="B279" s="19" t="inlineStr">
        <is>
          <t>PO-128-12270789558390045</t>
        </is>
      </c>
      <c r="C279" s="19" t="inlineStr">
        <is>
          <t>Delivered</t>
        </is>
      </c>
      <c r="D279" s="19" t="inlineStr">
        <is>
          <t>128-12270841987190045</t>
        </is>
      </c>
      <c r="E279" s="19" t="inlineStr">
        <is>
          <t>Delivered</t>
        </is>
      </c>
      <c r="F279" s="19" t="inlineStr">
        <is>
          <t>BS-01</t>
        </is>
      </c>
      <c r="G27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9" s="19" t="inlineStr">
        <is>
          <t>BS-01</t>
        </is>
      </c>
      <c r="I279" s="19" t="n">
        <v>1</v>
      </c>
      <c r="J279" s="20" t="n">
        <v>215</v>
      </c>
      <c r="K279" s="20" t="n">
        <v>253.6</v>
      </c>
      <c r="L279" s="20" t="n">
        <v>25.86</v>
      </c>
      <c r="M279" s="20" t="n">
        <v>0</v>
      </c>
      <c r="N279" s="20">
        <f>K279*0.08+L279*0.08</f>
        <v/>
      </c>
      <c r="O279" s="20">
        <f>-(K279*0.025+L279*0.025)</f>
        <v/>
      </c>
      <c r="P279" s="20">
        <f>32</f>
        <v/>
      </c>
      <c r="Q279" s="20">
        <f>J279+L279+N279+O279-P279-M279</f>
        <v/>
      </c>
    </row>
    <row r="280">
      <c r="A280" s="19" t="inlineStr">
        <is>
          <t>5.22-5.28</t>
        </is>
      </c>
      <c r="B280" s="19" t="inlineStr">
        <is>
          <t>PO-128-11845331991673669</t>
        </is>
      </c>
      <c r="C280" s="19" t="inlineStr">
        <is>
          <t>Delivered</t>
        </is>
      </c>
      <c r="D280" s="19" t="inlineStr">
        <is>
          <t>128-11845352963193669</t>
        </is>
      </c>
      <c r="E280" s="19" t="inlineStr">
        <is>
          <t>Delivered</t>
        </is>
      </c>
      <c r="F280" s="19" t="inlineStr">
        <is>
          <t>BS-01</t>
        </is>
      </c>
      <c r="G28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0" s="19" t="inlineStr">
        <is>
          <t>BS-01</t>
        </is>
      </c>
      <c r="I280" s="19" t="n">
        <v>1</v>
      </c>
      <c r="J280" s="20" t="n">
        <v>215</v>
      </c>
      <c r="K280" s="20" t="n">
        <v>253.6</v>
      </c>
      <c r="L280" s="20" t="n">
        <v>25.86</v>
      </c>
      <c r="M280" s="20" t="n">
        <v>0</v>
      </c>
      <c r="N280" s="20">
        <f>K280*0.08+L280*0.08</f>
        <v/>
      </c>
      <c r="O280" s="20">
        <f>-(K280*0.025+L280*0.025)</f>
        <v/>
      </c>
      <c r="P280" s="20">
        <f>32</f>
        <v/>
      </c>
      <c r="Q280" s="20">
        <f>J280+L280+N280+O280-P280-M280</f>
        <v/>
      </c>
    </row>
    <row r="281">
      <c r="A281" s="19" t="inlineStr">
        <is>
          <t>5.22-5.28</t>
        </is>
      </c>
      <c r="B281" s="19" t="inlineStr">
        <is>
          <t>PO-128-11874981778552530</t>
        </is>
      </c>
      <c r="C281" s="19" t="inlineStr">
        <is>
          <t>Delivered</t>
        </is>
      </c>
      <c r="D281" s="19" t="inlineStr">
        <is>
          <t>128-11874960807032530</t>
        </is>
      </c>
      <c r="E281" s="19" t="inlineStr">
        <is>
          <t>Delivered</t>
        </is>
      </c>
      <c r="F281" s="19" t="inlineStr">
        <is>
          <t>BS-01</t>
        </is>
      </c>
      <c r="G28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1" s="19" t="inlineStr">
        <is>
          <t>BS-01</t>
        </is>
      </c>
      <c r="I281" s="19" t="n">
        <v>1</v>
      </c>
      <c r="J281" s="20" t="n">
        <v>215</v>
      </c>
      <c r="K281" s="20" t="n">
        <v>253.6</v>
      </c>
      <c r="L281" s="20" t="n">
        <v>25.86</v>
      </c>
      <c r="M281" s="20" t="n">
        <v>0</v>
      </c>
      <c r="N281" s="20">
        <f>K281*0.08+L281*0.08</f>
        <v/>
      </c>
      <c r="O281" s="20">
        <f>-(K281*0.025+L281*0.025)</f>
        <v/>
      </c>
      <c r="P281" s="20">
        <f>32</f>
        <v/>
      </c>
      <c r="Q281" s="20">
        <f>J281+L281+N281+O281-P281-M281</f>
        <v/>
      </c>
    </row>
    <row r="282">
      <c r="A282" s="19" t="inlineStr">
        <is>
          <t>5.22-5.28</t>
        </is>
      </c>
      <c r="B282" s="19" t="inlineStr">
        <is>
          <t>PO-128-12228256295030296</t>
        </is>
      </c>
      <c r="C282" s="19" t="inlineStr">
        <is>
          <t>Delivered</t>
        </is>
      </c>
      <c r="D282" s="19" t="inlineStr">
        <is>
          <t>128-12228392609910296</t>
        </is>
      </c>
      <c r="E282" s="19" t="inlineStr">
        <is>
          <t>Delivered</t>
        </is>
      </c>
      <c r="F282" s="19" t="inlineStr">
        <is>
          <t>BS-01</t>
        </is>
      </c>
      <c r="G28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2" s="19" t="inlineStr">
        <is>
          <t>BS-01</t>
        </is>
      </c>
      <c r="I282" s="19" t="n">
        <v>1</v>
      </c>
      <c r="J282" s="20" t="n">
        <v>215</v>
      </c>
      <c r="K282" s="20" t="n">
        <v>253.6</v>
      </c>
      <c r="L282" s="20" t="n">
        <v>25.86</v>
      </c>
      <c r="M282" s="20" t="n">
        <v>0</v>
      </c>
      <c r="N282" s="20">
        <f>K282*0.08+L282*0.08</f>
        <v/>
      </c>
      <c r="O282" s="20">
        <f>-(K282*0.025+L282*0.025)</f>
        <v/>
      </c>
      <c r="P282" s="20">
        <f>32</f>
        <v/>
      </c>
      <c r="Q282" s="20">
        <f>J282+L282+N282+O282-P282-M282</f>
        <v/>
      </c>
    </row>
    <row r="283">
      <c r="A283" s="19" t="inlineStr">
        <is>
          <t>5.22-5.28</t>
        </is>
      </c>
      <c r="B283" s="19" t="inlineStr">
        <is>
          <t>PO-128-12001081878392802</t>
        </is>
      </c>
      <c r="C283" s="19" t="inlineStr">
        <is>
          <t>Delivered</t>
        </is>
      </c>
      <c r="D283" s="19" t="inlineStr">
        <is>
          <t>128-12001105471352802</t>
        </is>
      </c>
      <c r="E283" s="19" t="inlineStr">
        <is>
          <t>Delivered</t>
        </is>
      </c>
      <c r="F283" s="19" t="inlineStr">
        <is>
          <t>BS-01</t>
        </is>
      </c>
      <c r="G28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3" s="19" t="inlineStr">
        <is>
          <t>BS-01</t>
        </is>
      </c>
      <c r="I283" s="19" t="n">
        <v>1</v>
      </c>
      <c r="J283" s="20" t="n">
        <v>215</v>
      </c>
      <c r="K283" s="20" t="n">
        <v>253.6</v>
      </c>
      <c r="L283" s="20" t="n">
        <v>25.86</v>
      </c>
      <c r="M283" s="20" t="n">
        <v>0</v>
      </c>
      <c r="N283" s="20">
        <f>K283*0.08+L283*0.08</f>
        <v/>
      </c>
      <c r="O283" s="20">
        <f>-(K283*0.025+L283*0.025)</f>
        <v/>
      </c>
      <c r="P283" s="20">
        <f>32</f>
        <v/>
      </c>
      <c r="Q283" s="20">
        <f>J283+L283+N283+O283-P283-M283</f>
        <v/>
      </c>
    </row>
    <row r="284">
      <c r="A284" s="19" t="inlineStr">
        <is>
          <t>5.22-5.28</t>
        </is>
      </c>
      <c r="B284" s="19" t="inlineStr">
        <is>
          <t>PO-128-12183044636791590</t>
        </is>
      </c>
      <c r="C284" s="19" t="inlineStr">
        <is>
          <t>Delivered</t>
        </is>
      </c>
      <c r="D284" s="19" t="inlineStr">
        <is>
          <t>128-12183097065591590</t>
        </is>
      </c>
      <c r="E284" s="19" t="inlineStr">
        <is>
          <t>Delivered</t>
        </is>
      </c>
      <c r="F284" s="19" t="inlineStr">
        <is>
          <t>BS-01</t>
        </is>
      </c>
      <c r="G28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4" s="19" t="inlineStr">
        <is>
          <t>BS-01</t>
        </is>
      </c>
      <c r="I284" s="19" t="n">
        <v>1</v>
      </c>
      <c r="J284" s="20" t="n">
        <v>215</v>
      </c>
      <c r="K284" s="20" t="n">
        <v>202.88</v>
      </c>
      <c r="L284" s="20" t="n">
        <v>25.86</v>
      </c>
      <c r="M284" s="20" t="n">
        <v>0</v>
      </c>
      <c r="N284" s="20">
        <f>K284*0.08+L284*0.08</f>
        <v/>
      </c>
      <c r="O284" s="20">
        <f>-(K284*0.025+L284*0.025)</f>
        <v/>
      </c>
      <c r="P284" s="20">
        <f>32</f>
        <v/>
      </c>
      <c r="Q284" s="20">
        <f>J284+L284+N284+O284-P284-M284</f>
        <v/>
      </c>
    </row>
    <row r="285">
      <c r="A285" s="19" t="inlineStr">
        <is>
          <t>5.22-5.28</t>
        </is>
      </c>
      <c r="B285" s="19" t="inlineStr">
        <is>
          <t>PO-128-12287440904310904</t>
        </is>
      </c>
      <c r="C285" s="19" t="inlineStr">
        <is>
          <t>Delivered</t>
        </is>
      </c>
      <c r="D285" s="19" t="inlineStr">
        <is>
          <t>128-12287463186550904</t>
        </is>
      </c>
      <c r="E285" s="19" t="inlineStr">
        <is>
          <t>Delivered</t>
        </is>
      </c>
      <c r="F285" s="19" t="inlineStr">
        <is>
          <t>S-10302</t>
        </is>
      </c>
      <c r="G285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285" s="19" t="inlineStr">
        <is>
          <t>s-10302</t>
        </is>
      </c>
      <c r="I285" s="19" t="n">
        <v>1</v>
      </c>
      <c r="J285" s="20" t="n">
        <v>60.34</v>
      </c>
      <c r="K285" s="20" t="n">
        <v>72.23999999999999</v>
      </c>
      <c r="L285" s="20" t="n">
        <v>25.86</v>
      </c>
      <c r="M285" s="20" t="n">
        <v>0</v>
      </c>
      <c r="N285" s="20">
        <f>K285*0.08+L285*0.08</f>
        <v/>
      </c>
      <c r="O285" s="20">
        <f>-(K285*0.025+L285*0.025)</f>
        <v/>
      </c>
      <c r="P285" s="20">
        <f>32</f>
        <v/>
      </c>
      <c r="Q285" s="20">
        <f>J285+L285+N285+O285-P285-M285</f>
        <v/>
      </c>
    </row>
    <row r="286">
      <c r="A286" s="19" t="inlineStr">
        <is>
          <t>5.22-5.28</t>
        </is>
      </c>
      <c r="B286" s="19" t="inlineStr">
        <is>
          <t>PO-128-12131570471032027</t>
        </is>
      </c>
      <c r="C286" s="19" t="inlineStr">
        <is>
          <t>Delivered</t>
        </is>
      </c>
      <c r="D286" s="19" t="inlineStr">
        <is>
          <t>128-12131596685432027</t>
        </is>
      </c>
      <c r="E286" s="19" t="inlineStr">
        <is>
          <t>Delivered</t>
        </is>
      </c>
      <c r="F286" s="19" t="inlineStr">
        <is>
          <t>BS-09</t>
        </is>
      </c>
      <c r="G286" s="19" t="inlineStr">
        <is>
          <t>Altavoz de barra para PC con iluminación RGB, sonido de alta fidelidad y múltiples conexiones: Bluetooth, radio FM, USB, TF, AUX y TWS. Ideal para juegos, reuniones y cine en casa.</t>
        </is>
      </c>
      <c r="H286" s="19" t="inlineStr">
        <is>
          <t>NEGRO</t>
        </is>
      </c>
      <c r="I286" s="19" t="n">
        <v>1</v>
      </c>
      <c r="J286" s="20" t="n">
        <v>115</v>
      </c>
      <c r="K286" s="20" t="n">
        <v>143.38</v>
      </c>
      <c r="L286" s="20" t="n">
        <v>25.86</v>
      </c>
      <c r="M286" s="20" t="n">
        <v>0</v>
      </c>
      <c r="N286" s="20">
        <f>K286*0.08+L286*0.08</f>
        <v/>
      </c>
      <c r="O286" s="20">
        <f>-(K286*0.025+L286*0.025)</f>
        <v/>
      </c>
      <c r="P286" s="20">
        <f>32</f>
        <v/>
      </c>
      <c r="Q286" s="20">
        <f>J286+L286+N286+O286-P286-M286</f>
        <v/>
      </c>
    </row>
    <row r="287">
      <c r="A287" s="19" t="inlineStr">
        <is>
          <t>5.22-5.28</t>
        </is>
      </c>
      <c r="B287" s="19" t="inlineStr">
        <is>
          <t>PO-128-11737845143673285</t>
        </is>
      </c>
      <c r="C287" s="19" t="inlineStr">
        <is>
          <t>Delivered</t>
        </is>
      </c>
      <c r="D287" s="19" t="inlineStr">
        <is>
          <t>128-11738008983673285</t>
        </is>
      </c>
      <c r="E287" s="19" t="inlineStr">
        <is>
          <t>Delivered</t>
        </is>
      </c>
      <c r="F287" s="19" t="inlineStr">
        <is>
          <t>BS-01</t>
        </is>
      </c>
      <c r="G28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7" s="19" t="inlineStr">
        <is>
          <t>BS-01</t>
        </is>
      </c>
      <c r="I287" s="19" t="n">
        <v>1</v>
      </c>
      <c r="J287" s="20" t="n">
        <v>215</v>
      </c>
      <c r="K287" s="20" t="n">
        <v>253.6</v>
      </c>
      <c r="L287" s="20" t="n">
        <v>25.86</v>
      </c>
      <c r="M287" s="20" t="n">
        <v>0</v>
      </c>
      <c r="N287" s="20">
        <f>K287*0.08+L287*0.08</f>
        <v/>
      </c>
      <c r="O287" s="20">
        <f>-(K287*0.025+L287*0.025)</f>
        <v/>
      </c>
      <c r="P287" s="20">
        <f>32</f>
        <v/>
      </c>
      <c r="Q287" s="20">
        <f>J287+L287+N287+O287-P287-M287</f>
        <v/>
      </c>
    </row>
    <row r="288">
      <c r="A288" s="19" t="inlineStr">
        <is>
          <t>5.22-5.28</t>
        </is>
      </c>
      <c r="B288" s="19" t="inlineStr">
        <is>
          <t>PO-128-11863684155512471</t>
        </is>
      </c>
      <c r="C288" s="19" t="inlineStr">
        <is>
          <t>Delivered</t>
        </is>
      </c>
      <c r="D288" s="19" t="inlineStr">
        <is>
          <t>128-11863715612792471</t>
        </is>
      </c>
      <c r="E288" s="19" t="inlineStr">
        <is>
          <t>Delivered</t>
        </is>
      </c>
      <c r="F288" s="19" t="inlineStr">
        <is>
          <t>BS-01</t>
        </is>
      </c>
      <c r="G28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8" s="19" t="inlineStr">
        <is>
          <t>BS-01</t>
        </is>
      </c>
      <c r="I288" s="19" t="n">
        <v>1</v>
      </c>
      <c r="J288" s="20" t="n">
        <v>215</v>
      </c>
      <c r="K288" s="20" t="n">
        <v>221.32</v>
      </c>
      <c r="L288" s="20" t="n">
        <v>25.86</v>
      </c>
      <c r="M288" s="20" t="n">
        <v>0</v>
      </c>
      <c r="N288" s="20">
        <f>K288*0.08+L288*0.08</f>
        <v/>
      </c>
      <c r="O288" s="20">
        <f>-(K288*0.025+L288*0.025)</f>
        <v/>
      </c>
      <c r="P288" s="20">
        <f>32</f>
        <v/>
      </c>
      <c r="Q288" s="20">
        <f>J288+L288+N288+O288-P288-M288</f>
        <v/>
      </c>
    </row>
    <row r="289">
      <c r="A289" s="19" t="inlineStr">
        <is>
          <t>5.22-5.28</t>
        </is>
      </c>
      <c r="B289" s="19" t="inlineStr">
        <is>
          <t>PO-128-11737059873913288</t>
        </is>
      </c>
      <c r="C289" s="19" t="inlineStr">
        <is>
          <t>Delivered</t>
        </is>
      </c>
      <c r="D289" s="19" t="inlineStr">
        <is>
          <t>128-11737049388153288</t>
        </is>
      </c>
      <c r="E289" s="19" t="inlineStr">
        <is>
          <t>Delivered</t>
        </is>
      </c>
      <c r="F289" s="19" t="inlineStr">
        <is>
          <t>BS-01</t>
        </is>
      </c>
      <c r="G28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9" s="19" t="inlineStr">
        <is>
          <t>BS-01</t>
        </is>
      </c>
      <c r="I289" s="19" t="n">
        <v>1</v>
      </c>
      <c r="J289" s="20" t="n">
        <v>215</v>
      </c>
      <c r="K289" s="20" t="n">
        <v>253.6</v>
      </c>
      <c r="L289" s="20" t="n">
        <v>25.86</v>
      </c>
      <c r="M289" s="20" t="n">
        <v>0</v>
      </c>
      <c r="N289" s="20">
        <f>K289*0.08+L289*0.08</f>
        <v/>
      </c>
      <c r="O289" s="20">
        <f>-(K289*0.025+L289*0.025)</f>
        <v/>
      </c>
      <c r="P289" s="20">
        <f>32</f>
        <v/>
      </c>
      <c r="Q289" s="20">
        <f>J289+L289+N289+O289-P289-M289</f>
        <v/>
      </c>
    </row>
    <row r="290">
      <c r="A290" s="19" t="inlineStr">
        <is>
          <t>5.22-5.28</t>
        </is>
      </c>
      <c r="B290" s="19" t="inlineStr">
        <is>
          <t>PO-128-12185943401591575</t>
        </is>
      </c>
      <c r="C290" s="19" t="inlineStr">
        <is>
          <t>Delivered</t>
        </is>
      </c>
      <c r="D290" s="19" t="inlineStr">
        <is>
          <t>128-12185901458551575</t>
        </is>
      </c>
      <c r="E290" s="19" t="inlineStr">
        <is>
          <t>Delivered</t>
        </is>
      </c>
      <c r="F290" s="19" t="inlineStr">
        <is>
          <t>BS-01</t>
        </is>
      </c>
      <c r="G29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0" s="19" t="inlineStr">
        <is>
          <t>BS-01</t>
        </is>
      </c>
      <c r="I290" s="19" t="n">
        <v>1</v>
      </c>
      <c r="J290" s="20" t="n">
        <v>215</v>
      </c>
      <c r="K290" s="20" t="n">
        <v>253.6</v>
      </c>
      <c r="L290" s="20" t="n">
        <v>25.86</v>
      </c>
      <c r="M290" s="20" t="n">
        <v>0</v>
      </c>
      <c r="N290" s="20">
        <f>K290*0.08+L290*0.08</f>
        <v/>
      </c>
      <c r="O290" s="20">
        <f>-(K290*0.025+L290*0.025)</f>
        <v/>
      </c>
      <c r="P290" s="20">
        <f>32</f>
        <v/>
      </c>
      <c r="Q290" s="20">
        <f>J290+L290+N290+O290-P290-M290</f>
        <v/>
      </c>
    </row>
    <row r="291">
      <c r="A291" s="19" t="inlineStr">
        <is>
          <t>5.22-5.28</t>
        </is>
      </c>
      <c r="B291" s="19" t="inlineStr">
        <is>
          <t>PO-128-12041140805751476</t>
        </is>
      </c>
      <c r="C291" s="19" t="inlineStr">
        <is>
          <t>Delivered</t>
        </is>
      </c>
      <c r="D291" s="19" t="inlineStr">
        <is>
          <t>128-12041098862711476</t>
        </is>
      </c>
      <c r="E291" s="19" t="inlineStr">
        <is>
          <t>Delivered</t>
        </is>
      </c>
      <c r="F291" s="19" t="inlineStr">
        <is>
          <t>BS-01</t>
        </is>
      </c>
      <c r="G29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1" s="19" t="inlineStr">
        <is>
          <t>BS-01</t>
        </is>
      </c>
      <c r="I291" s="19" t="n">
        <v>1</v>
      </c>
      <c r="J291" s="20" t="n">
        <v>215</v>
      </c>
      <c r="K291" s="20" t="n">
        <v>253.6</v>
      </c>
      <c r="L291" s="20" t="n">
        <v>25.86</v>
      </c>
      <c r="M291" s="20" t="n">
        <v>0</v>
      </c>
      <c r="N291" s="20">
        <f>K291*0.08+L291*0.08</f>
        <v/>
      </c>
      <c r="O291" s="20">
        <f>-(K291*0.025+L291*0.025)</f>
        <v/>
      </c>
      <c r="P291" s="20">
        <f>32</f>
        <v/>
      </c>
      <c r="Q291" s="20">
        <f>J291+L291+N291+O291-P291-M291</f>
        <v/>
      </c>
    </row>
    <row r="292">
      <c r="A292" s="19" t="inlineStr">
        <is>
          <t>5.22-5.28</t>
        </is>
      </c>
      <c r="B292" s="19" t="inlineStr">
        <is>
          <t>PO-128-12310911317110828</t>
        </is>
      </c>
      <c r="C292" s="19" t="inlineStr">
        <is>
          <t>Delivered</t>
        </is>
      </c>
      <c r="D292" s="19" t="inlineStr">
        <is>
          <t>128-12310932288630828</t>
        </is>
      </c>
      <c r="E292" s="19" t="inlineStr">
        <is>
          <t>Delivered</t>
        </is>
      </c>
      <c r="F292" s="19" t="inlineStr">
        <is>
          <t>BS-01</t>
        </is>
      </c>
      <c r="G29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2" s="19" t="inlineStr">
        <is>
          <t>BS-01</t>
        </is>
      </c>
      <c r="I292" s="19" t="n">
        <v>1</v>
      </c>
      <c r="J292" s="20" t="n">
        <v>215</v>
      </c>
      <c r="K292" s="20" t="n">
        <v>253.6</v>
      </c>
      <c r="L292" s="20" t="n">
        <v>25.86</v>
      </c>
      <c r="M292" s="20" t="n">
        <v>0</v>
      </c>
      <c r="N292" s="20">
        <f>K292*0.08+L292*0.08</f>
        <v/>
      </c>
      <c r="O292" s="20">
        <f>-(K292*0.025+L292*0.025)</f>
        <v/>
      </c>
      <c r="P292" s="20">
        <f>32</f>
        <v/>
      </c>
      <c r="Q292" s="20">
        <f>J292+L292+N292+O292-P292-M292</f>
        <v/>
      </c>
    </row>
    <row r="293">
      <c r="A293" s="19" t="inlineStr">
        <is>
          <t>5.22-5.28</t>
        </is>
      </c>
      <c r="B293" s="19" t="inlineStr">
        <is>
          <t>PO-128-12260175278710234</t>
        </is>
      </c>
      <c r="C293" s="19" t="inlineStr">
        <is>
          <t>Delivered</t>
        </is>
      </c>
      <c r="D293" s="19" t="inlineStr">
        <is>
          <t>128-12260185764470234</t>
        </is>
      </c>
      <c r="E293" s="19" t="inlineStr">
        <is>
          <t>Delivered</t>
        </is>
      </c>
      <c r="F293" s="19" t="inlineStr">
        <is>
          <t>BS-01</t>
        </is>
      </c>
      <c r="G29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3" s="19" t="inlineStr">
        <is>
          <t>BS-01</t>
        </is>
      </c>
      <c r="I293" s="19" t="n">
        <v>1</v>
      </c>
      <c r="J293" s="20" t="n">
        <v>215</v>
      </c>
      <c r="K293" s="20" t="n">
        <v>253.6</v>
      </c>
      <c r="L293" s="20" t="n">
        <v>25.86</v>
      </c>
      <c r="M293" s="20" t="n">
        <v>0</v>
      </c>
      <c r="N293" s="20">
        <f>K293*0.08+L293*0.08</f>
        <v/>
      </c>
      <c r="O293" s="20">
        <f>-(K293*0.025+L293*0.025)</f>
        <v/>
      </c>
      <c r="P293" s="20">
        <f>32</f>
        <v/>
      </c>
      <c r="Q293" s="20">
        <f>J293+L293+N293+O293-P293-M293</f>
        <v/>
      </c>
    </row>
    <row r="294">
      <c r="A294" s="19" t="inlineStr">
        <is>
          <t>5.22-5.28</t>
        </is>
      </c>
      <c r="B294" s="19" t="inlineStr">
        <is>
          <t>PO-128-12190148137591612</t>
        </is>
      </c>
      <c r="C294" s="19" t="inlineStr">
        <is>
          <t>Delivered</t>
        </is>
      </c>
      <c r="D294" s="19" t="inlineStr">
        <is>
          <t>128-12190106194551612</t>
        </is>
      </c>
      <c r="E294" s="19" t="inlineStr">
        <is>
          <t>Delivered</t>
        </is>
      </c>
      <c r="F294" s="19" t="inlineStr">
        <is>
          <t>BS-09</t>
        </is>
      </c>
      <c r="G294" s="19" t="inlineStr">
        <is>
          <t>Altavoz de barra para PC con iluminación RGB, sonido de alta fidelidad y múltiples conexiones: Bluetooth, radio FM, USB, TF, AUX y TWS. Ideal para juegos, reuniones y cine en casa.</t>
        </is>
      </c>
      <c r="H294" s="19" t="inlineStr">
        <is>
          <t>NEGRO</t>
        </is>
      </c>
      <c r="I294" s="19" t="n">
        <v>2</v>
      </c>
      <c r="J294" s="20" t="n">
        <v>230</v>
      </c>
      <c r="K294" s="20" t="n">
        <v>286.76</v>
      </c>
      <c r="L294" s="20" t="n">
        <v>0</v>
      </c>
      <c r="M294" s="20" t="n">
        <v>0</v>
      </c>
      <c r="N294" s="20">
        <f>K294*0.08+L294*0.08</f>
        <v/>
      </c>
      <c r="O294" s="20">
        <f>-(K294*0.025+L294*0.025)</f>
        <v/>
      </c>
      <c r="P294" s="20">
        <f>32</f>
        <v/>
      </c>
      <c r="Q294" s="20">
        <f>J294+L294+N294+O294-P294-M294</f>
        <v/>
      </c>
    </row>
    <row r="295">
      <c r="A295" s="19" t="inlineStr">
        <is>
          <t>5.22-5.28</t>
        </is>
      </c>
      <c r="B295" s="19" t="inlineStr">
        <is>
          <t>PO-128-12322199265910888</t>
        </is>
      </c>
      <c r="C295" s="19" t="inlineStr">
        <is>
          <t>Delivered</t>
        </is>
      </c>
      <c r="D295" s="19" t="inlineStr">
        <is>
          <t>128-12322201887350888</t>
        </is>
      </c>
      <c r="E295" s="19" t="inlineStr">
        <is>
          <t>Delivered</t>
        </is>
      </c>
      <c r="F295" s="19" t="inlineStr">
        <is>
          <t>BS-01</t>
        </is>
      </c>
      <c r="G29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5" s="19" t="inlineStr">
        <is>
          <t>BS-01</t>
        </is>
      </c>
      <c r="I295" s="19" t="n">
        <v>1</v>
      </c>
      <c r="J295" s="20" t="n">
        <v>215</v>
      </c>
      <c r="K295" s="20" t="n">
        <v>253.6</v>
      </c>
      <c r="L295" s="20" t="n">
        <v>25.86</v>
      </c>
      <c r="M295" s="20" t="n">
        <v>0</v>
      </c>
      <c r="N295" s="20">
        <f>K295*0.08+L295*0.08</f>
        <v/>
      </c>
      <c r="O295" s="20">
        <f>-(K295*0.025+L295*0.025)</f>
        <v/>
      </c>
      <c r="P295" s="20">
        <f>32</f>
        <v/>
      </c>
      <c r="Q295" s="20">
        <f>J295+L295+N295+O295-P295-M295</f>
        <v/>
      </c>
    </row>
    <row r="296">
      <c r="A296" s="19" t="inlineStr">
        <is>
          <t>5.22-5.28</t>
        </is>
      </c>
      <c r="B296" s="19" t="inlineStr">
        <is>
          <t>PO-128-12304131584630996</t>
        </is>
      </c>
      <c r="C296" s="19" t="inlineStr">
        <is>
          <t>Delivered</t>
        </is>
      </c>
      <c r="D296" s="19" t="inlineStr">
        <is>
          <t>128-12304142070390996</t>
        </is>
      </c>
      <c r="E296" s="19" t="inlineStr">
        <is>
          <t>Delivered</t>
        </is>
      </c>
      <c r="F296" s="19" t="inlineStr">
        <is>
          <t>BS-09</t>
        </is>
      </c>
      <c r="G296" s="19" t="inlineStr">
        <is>
          <t>Altavoz de barra para PC con iluminación RGB, sonido de alta fidelidad y múltiples conexiones: Bluetooth, radio FM, USB, TF, AUX y TWS. Ideal para juegos, reuniones y cine en casa.</t>
        </is>
      </c>
      <c r="H296" s="19" t="inlineStr">
        <is>
          <t>NEGRO</t>
        </is>
      </c>
      <c r="I296" s="19" t="n">
        <v>1</v>
      </c>
      <c r="J296" s="20" t="n">
        <v>115</v>
      </c>
      <c r="K296" s="20" t="n">
        <v>93.2</v>
      </c>
      <c r="L296" s="20" t="n">
        <v>25.86</v>
      </c>
      <c r="M296" s="20" t="n">
        <v>0</v>
      </c>
      <c r="N296" s="20">
        <f>K296*0.08+L296*0.08</f>
        <v/>
      </c>
      <c r="O296" s="20">
        <f>-(K296*0.025+L296*0.025)</f>
        <v/>
      </c>
      <c r="P296" s="20">
        <f>32</f>
        <v/>
      </c>
      <c r="Q296" s="20">
        <f>J296+L296+N296+O296-P296-M296</f>
        <v/>
      </c>
    </row>
    <row r="297">
      <c r="A297" s="19" t="inlineStr">
        <is>
          <t>5.22-5.28</t>
        </is>
      </c>
      <c r="B297" s="19" t="inlineStr">
        <is>
          <t>PO-128-11713234176633366</t>
        </is>
      </c>
      <c r="C297" s="19" t="inlineStr">
        <is>
          <t>Delivered</t>
        </is>
      </c>
      <c r="D297" s="19" t="inlineStr">
        <is>
          <t>128-11713306593913366</t>
        </is>
      </c>
      <c r="E297" s="19" t="inlineStr">
        <is>
          <t>Delivered</t>
        </is>
      </c>
      <c r="F297" s="19" t="inlineStr">
        <is>
          <t>IE01MB</t>
        </is>
      </c>
      <c r="G297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97" s="19" t="inlineStr">
        <is>
          <t>1 pieza</t>
        </is>
      </c>
      <c r="I297" s="19" t="n">
        <v>1</v>
      </c>
      <c r="J297" s="20" t="n">
        <v>17.4</v>
      </c>
      <c r="K297" s="20" t="n">
        <v>20.45</v>
      </c>
      <c r="L297" s="20" t="n">
        <v>25.86</v>
      </c>
      <c r="M297" s="20" t="n">
        <v>0</v>
      </c>
      <c r="N297" s="20">
        <f>K297*0.08+L297*0.08</f>
        <v/>
      </c>
      <c r="O297" s="20">
        <f>-(K297*0.025+L297*0.025)</f>
        <v/>
      </c>
      <c r="P297" s="20">
        <f>32</f>
        <v/>
      </c>
      <c r="Q297" s="20">
        <f>J297+L297+N297+O297-P297-M297</f>
        <v/>
      </c>
    </row>
    <row r="298">
      <c r="A298" s="19" t="inlineStr">
        <is>
          <t>5.22-5.28</t>
        </is>
      </c>
      <c r="B298" s="19" t="inlineStr">
        <is>
          <t>PO-128-11999893038712810</t>
        </is>
      </c>
      <c r="C298" s="19" t="inlineStr">
        <is>
          <t>Delivered</t>
        </is>
      </c>
      <c r="D298" s="19" t="inlineStr">
        <is>
          <t>128-11999872067192810</t>
        </is>
      </c>
      <c r="E298" s="19" t="inlineStr">
        <is>
          <t>Delivered</t>
        </is>
      </c>
      <c r="F298" s="19" t="inlineStr">
        <is>
          <t>IE03CB</t>
        </is>
      </c>
      <c r="G298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298" s="19" t="inlineStr">
        <is>
          <t>BLANCO</t>
        </is>
      </c>
      <c r="I298" s="19" t="n">
        <v>1</v>
      </c>
      <c r="J298" s="20" t="n">
        <v>30</v>
      </c>
      <c r="K298" s="20" t="n">
        <v>39.59</v>
      </c>
      <c r="L298" s="20" t="n">
        <v>25.86</v>
      </c>
      <c r="M298" s="20" t="n">
        <v>0</v>
      </c>
      <c r="N298" s="20">
        <f>K298*0.08+L298*0.08</f>
        <v/>
      </c>
      <c r="O298" s="20">
        <f>-(K298*0.025+L298*0.025)</f>
        <v/>
      </c>
      <c r="P298" s="20">
        <f>32</f>
        <v/>
      </c>
      <c r="Q298" s="20">
        <f>J298+L298+N298+O298-P298-M298</f>
        <v/>
      </c>
    </row>
    <row r="299">
      <c r="A299" s="19" t="inlineStr">
        <is>
          <t>5.22-5.28</t>
        </is>
      </c>
      <c r="B299" s="19" t="inlineStr">
        <is>
          <t>PO-128-11831261046393817</t>
        </is>
      </c>
      <c r="C299" s="19" t="inlineStr">
        <is>
          <t>Delivered</t>
        </is>
      </c>
      <c r="D299" s="19" t="inlineStr">
        <is>
          <t>128-11831219103353817</t>
        </is>
      </c>
      <c r="E299" s="19" t="inlineStr">
        <is>
          <t>Delivered</t>
        </is>
      </c>
      <c r="F299" s="19" t="inlineStr">
        <is>
          <t>BS-09</t>
        </is>
      </c>
      <c r="G299" s="19" t="inlineStr">
        <is>
          <t>Altavoz de barra para PC con iluminación RGB, sonido de alta fidelidad y múltiples conexiones: Bluetooth, radio FM, USB, TF, AUX y TWS. Ideal para juegos, reuniones y cine en casa.</t>
        </is>
      </c>
      <c r="H299" s="19" t="inlineStr">
        <is>
          <t>NEGRO</t>
        </is>
      </c>
      <c r="I299" s="19" t="n">
        <v>1</v>
      </c>
      <c r="J299" s="20" t="n">
        <v>115</v>
      </c>
      <c r="K299" s="20" t="n">
        <v>143.38</v>
      </c>
      <c r="L299" s="20" t="n">
        <v>25.86</v>
      </c>
      <c r="M299" s="20" t="n">
        <v>0</v>
      </c>
      <c r="N299" s="20">
        <f>K299*0.08+L299*0.08</f>
        <v/>
      </c>
      <c r="O299" s="20">
        <f>-(K299*0.025+L299*0.025)</f>
        <v/>
      </c>
      <c r="P299" s="20">
        <f>32</f>
        <v/>
      </c>
      <c r="Q299" s="20">
        <f>J299+L299+N299+O299-P299-M299</f>
        <v/>
      </c>
    </row>
    <row r="300">
      <c r="A300" s="19" t="inlineStr">
        <is>
          <t>5.22-5.28</t>
        </is>
      </c>
      <c r="B300" s="19" t="inlineStr">
        <is>
          <t>PO-128-12215463614070503</t>
        </is>
      </c>
      <c r="C300" s="19" t="inlineStr">
        <is>
          <t>Delivered</t>
        </is>
      </c>
      <c r="D300" s="19" t="inlineStr">
        <is>
          <t>128-12215421671030503</t>
        </is>
      </c>
      <c r="E300" s="19" t="inlineStr">
        <is>
          <t>Delivered</t>
        </is>
      </c>
      <c r="F300" s="19" t="inlineStr">
        <is>
          <t>BS-01</t>
        </is>
      </c>
      <c r="G30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0" s="19" t="inlineStr">
        <is>
          <t>BS-01</t>
        </is>
      </c>
      <c r="I300" s="19" t="n">
        <v>1</v>
      </c>
      <c r="J300" s="20" t="n">
        <v>215</v>
      </c>
      <c r="K300" s="20" t="n">
        <v>253.6</v>
      </c>
      <c r="L300" s="20" t="n">
        <v>25.86</v>
      </c>
      <c r="M300" s="20" t="n">
        <v>0</v>
      </c>
      <c r="N300" s="20">
        <f>K300*0.08+L300*0.08</f>
        <v/>
      </c>
      <c r="O300" s="20">
        <f>-(K300*0.025+L300*0.025)</f>
        <v/>
      </c>
      <c r="P300" s="20">
        <f>32</f>
        <v/>
      </c>
      <c r="Q300" s="20">
        <f>J300+L300+N300+O300-P300-M300</f>
        <v/>
      </c>
    </row>
    <row r="301">
      <c r="A301" s="19" t="inlineStr">
        <is>
          <t>5.22-5.28</t>
        </is>
      </c>
      <c r="B301" s="19" t="inlineStr">
        <is>
          <t>PO-128-11984924672632709</t>
        </is>
      </c>
      <c r="C301" s="19" t="inlineStr">
        <is>
          <t>Delivered</t>
        </is>
      </c>
      <c r="D301" s="19" t="inlineStr">
        <is>
          <t>128-11984945644152709</t>
        </is>
      </c>
      <c r="E301" s="19" t="inlineStr">
        <is>
          <t>Delivered</t>
        </is>
      </c>
      <c r="F301" s="19" t="inlineStr">
        <is>
          <t>BS-01</t>
        </is>
      </c>
      <c r="G30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1" s="19" t="inlineStr">
        <is>
          <t>BS-01</t>
        </is>
      </c>
      <c r="I301" s="19" t="n">
        <v>1</v>
      </c>
      <c r="J301" s="20" t="n">
        <v>215</v>
      </c>
      <c r="K301" s="20" t="n">
        <v>202.88</v>
      </c>
      <c r="L301" s="20" t="n">
        <v>25.86</v>
      </c>
      <c r="M301" s="20" t="n">
        <v>0</v>
      </c>
      <c r="N301" s="20">
        <f>K301*0.08+L301*0.08</f>
        <v/>
      </c>
      <c r="O301" s="20">
        <f>-(K301*0.025+L301*0.025)</f>
        <v/>
      </c>
      <c r="P301" s="20">
        <f>32</f>
        <v/>
      </c>
      <c r="Q301" s="20">
        <f>J301+L301+N301+O301-P301-M301</f>
        <v/>
      </c>
    </row>
    <row r="302">
      <c r="A302" s="19" t="inlineStr">
        <is>
          <t>5.22-5.28</t>
        </is>
      </c>
      <c r="B302" s="19" t="inlineStr">
        <is>
          <t>PO-128-01211270011510429</t>
        </is>
      </c>
      <c r="C302" s="19" t="inlineStr">
        <is>
          <t>Delivered</t>
        </is>
      </c>
      <c r="D302" s="19" t="inlineStr">
        <is>
          <t>128-01211290983030429</t>
        </is>
      </c>
      <c r="E302" s="19" t="inlineStr">
        <is>
          <t>Delivered</t>
        </is>
      </c>
      <c r="F302" s="19" t="inlineStr">
        <is>
          <t>IE03CN</t>
        </is>
      </c>
      <c r="G302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302" s="19" t="inlineStr">
        <is>
          <t>NEGRO</t>
        </is>
      </c>
      <c r="I302" s="19" t="n">
        <v>1</v>
      </c>
      <c r="J302" s="20" t="n">
        <v>30</v>
      </c>
      <c r="K302" s="20" t="n">
        <v>39.59</v>
      </c>
      <c r="L302" s="20" t="n">
        <v>25.86</v>
      </c>
      <c r="M302" s="20" t="n">
        <v>0</v>
      </c>
      <c r="N302" s="20">
        <f>K302*0.08+L302*0.08</f>
        <v/>
      </c>
      <c r="O302" s="20">
        <f>-(K302*0.025+L302*0.025)</f>
        <v/>
      </c>
      <c r="P302" s="20">
        <f>32</f>
        <v/>
      </c>
      <c r="Q302" s="20">
        <f>J302+L302+N302+O302-P302-M302</f>
        <v/>
      </c>
    </row>
    <row r="303">
      <c r="A303" s="19" t="inlineStr">
        <is>
          <t>5.22-5.28</t>
        </is>
      </c>
      <c r="B303" s="19" t="inlineStr">
        <is>
          <t>PO-128-01275605084790045</t>
        </is>
      </c>
      <c r="C303" s="19" t="inlineStr">
        <is>
          <t>Delivered</t>
        </is>
      </c>
      <c r="D303" s="19" t="inlineStr">
        <is>
          <t>128-01275709942390045</t>
        </is>
      </c>
      <c r="E303" s="19" t="inlineStr">
        <is>
          <t>Delivered</t>
        </is>
      </c>
      <c r="F303" s="19" t="inlineStr">
        <is>
          <t>BS-01</t>
        </is>
      </c>
      <c r="G30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3" s="19" t="inlineStr">
        <is>
          <t>BS-01</t>
        </is>
      </c>
      <c r="I303" s="19" t="n">
        <v>1</v>
      </c>
      <c r="J303" s="20" t="n">
        <v>215</v>
      </c>
      <c r="K303" s="20" t="n">
        <v>253.6</v>
      </c>
      <c r="L303" s="20" t="n">
        <v>25.86</v>
      </c>
      <c r="M303" s="20" t="n">
        <v>0</v>
      </c>
      <c r="N303" s="20">
        <f>K303*0.08+L303*0.08</f>
        <v/>
      </c>
      <c r="O303" s="20">
        <f>-(K303*0.025+L303*0.025)</f>
        <v/>
      </c>
      <c r="P303" s="20">
        <f>32</f>
        <v/>
      </c>
      <c r="Q303" s="20">
        <f>J303+L303+N303+O303-P303-M303</f>
        <v/>
      </c>
    </row>
    <row r="304">
      <c r="A304" s="19" t="inlineStr">
        <is>
          <t>5.22-5.28</t>
        </is>
      </c>
      <c r="B304" s="19" t="inlineStr">
        <is>
          <t>PO-128-00857739039353686</t>
        </is>
      </c>
      <c r="C304" s="19" t="inlineStr">
        <is>
          <t>Delivered</t>
        </is>
      </c>
      <c r="D304" s="19" t="inlineStr">
        <is>
          <t>128-00857710203513686</t>
        </is>
      </c>
      <c r="E304" s="19" t="inlineStr">
        <is>
          <t>Delivered</t>
        </is>
      </c>
      <c r="F304" s="19" t="inlineStr">
        <is>
          <t>BS-01</t>
        </is>
      </c>
      <c r="G30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4" s="19" t="inlineStr">
        <is>
          <t>BS-01</t>
        </is>
      </c>
      <c r="I304" s="19" t="n">
        <v>1</v>
      </c>
      <c r="J304" s="20" t="n">
        <v>215</v>
      </c>
      <c r="K304" s="20" t="n">
        <v>253.6</v>
      </c>
      <c r="L304" s="20" t="n">
        <v>25.86</v>
      </c>
      <c r="M304" s="20" t="n">
        <v>0</v>
      </c>
      <c r="N304" s="20">
        <f>K304*0.08+L304*0.08</f>
        <v/>
      </c>
      <c r="O304" s="20">
        <f>-(K304*0.025+L304*0.025)</f>
        <v/>
      </c>
      <c r="P304" s="20">
        <f>32</f>
        <v/>
      </c>
      <c r="Q304" s="20">
        <f>J304+L304+N304+O304-P304-M304</f>
        <v/>
      </c>
    </row>
    <row r="305">
      <c r="A305" s="19" t="inlineStr">
        <is>
          <t>5.22-5.28</t>
        </is>
      </c>
      <c r="B305" s="19" t="inlineStr">
        <is>
          <t>PO-128-01067396920951348</t>
        </is>
      </c>
      <c r="C305" s="19" t="inlineStr">
        <is>
          <t>Delivered</t>
        </is>
      </c>
      <c r="D305" s="19" t="inlineStr">
        <is>
          <t>128-01067417892471348</t>
        </is>
      </c>
      <c r="E305" s="19" t="inlineStr">
        <is>
          <t>Delivered</t>
        </is>
      </c>
      <c r="F305" s="19" t="inlineStr">
        <is>
          <t>BS-01</t>
        </is>
      </c>
      <c r="G30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5" s="19" t="inlineStr">
        <is>
          <t>BS-01</t>
        </is>
      </c>
      <c r="I305" s="19" t="n">
        <v>1</v>
      </c>
      <c r="J305" s="20" t="n">
        <v>215</v>
      </c>
      <c r="K305" s="20" t="n">
        <v>253.6</v>
      </c>
      <c r="L305" s="20" t="n">
        <v>25.86</v>
      </c>
      <c r="M305" s="20" t="n">
        <v>0</v>
      </c>
      <c r="N305" s="20">
        <f>K305*0.08+L305*0.08</f>
        <v/>
      </c>
      <c r="O305" s="20">
        <f>-(K305*0.025+L305*0.025)</f>
        <v/>
      </c>
      <c r="P305" s="20">
        <f>32</f>
        <v/>
      </c>
      <c r="Q305" s="20">
        <f>J305+L305+N305+O305-P305-M305</f>
        <v/>
      </c>
    </row>
    <row r="306">
      <c r="A306" s="19" t="inlineStr">
        <is>
          <t>5.22-5.28</t>
        </is>
      </c>
      <c r="B306" s="19" t="inlineStr">
        <is>
          <t>PO-128-00994144502392747</t>
        </is>
      </c>
      <c r="C306" s="19" t="inlineStr">
        <is>
          <t>Delivered</t>
        </is>
      </c>
      <c r="D306" s="19" t="inlineStr">
        <is>
          <t>128-00994196931192747</t>
        </is>
      </c>
      <c r="E306" s="19" t="inlineStr">
        <is>
          <t>Delivered</t>
        </is>
      </c>
      <c r="F306" s="19" t="inlineStr">
        <is>
          <t>BS-07AM</t>
        </is>
      </c>
      <c r="G306" s="19" t="inlineStr">
        <is>
          <t>Altavoz Inalámbrico Portátil con Diseño Retro, Bajos Optimizados y Sonido 3D Envolvente,Compatible con TF/FM/AUX, Conexión BT TWS. Ideal para Home Theater, Fiestas y Regalos​</t>
        </is>
      </c>
      <c r="H306" s="19" t="inlineStr">
        <is>
          <t>BS-07AM</t>
        </is>
      </c>
      <c r="I306" s="19" t="n">
        <v>1</v>
      </c>
      <c r="J306" s="20" t="n">
        <v>132</v>
      </c>
      <c r="K306" s="20" t="n">
        <v>120.55</v>
      </c>
      <c r="L306" s="20" t="n">
        <v>25.86</v>
      </c>
      <c r="M306" s="20" t="n">
        <v>0</v>
      </c>
      <c r="N306" s="20">
        <f>K306*0.08+L306*0.08</f>
        <v/>
      </c>
      <c r="O306" s="20">
        <f>-(K306*0.025+L306*0.025)</f>
        <v/>
      </c>
      <c r="P306" s="20">
        <f>32</f>
        <v/>
      </c>
      <c r="Q306" s="20">
        <f>J306+L306+N306+O306-P306-M306</f>
        <v/>
      </c>
    </row>
    <row r="307">
      <c r="A307" s="19" t="inlineStr">
        <is>
          <t>5.22-5.28</t>
        </is>
      </c>
      <c r="B307" s="19" t="inlineStr">
        <is>
          <t>PO-128-00694268703353508</t>
        </is>
      </c>
      <c r="C307" s="19" t="inlineStr">
        <is>
          <t>Delivered</t>
        </is>
      </c>
      <c r="D307" s="19" t="inlineStr">
        <is>
          <t>128-00694284431993508</t>
        </is>
      </c>
      <c r="E307" s="19" t="inlineStr">
        <is>
          <t>Delivered</t>
        </is>
      </c>
      <c r="F307" s="19" t="inlineStr">
        <is>
          <t>BS-01</t>
        </is>
      </c>
      <c r="G30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7" s="19" t="inlineStr">
        <is>
          <t>BS-01</t>
        </is>
      </c>
      <c r="I307" s="19" t="n">
        <v>1</v>
      </c>
      <c r="J307" s="20" t="n">
        <v>215</v>
      </c>
      <c r="K307" s="20" t="n">
        <v>190.2</v>
      </c>
      <c r="L307" s="20" t="n">
        <v>25.86</v>
      </c>
      <c r="M307" s="20" t="n">
        <v>0</v>
      </c>
      <c r="N307" s="20">
        <f>K307*0.08+L307*0.08</f>
        <v/>
      </c>
      <c r="O307" s="20">
        <f>-(K307*0.025+L307*0.025)</f>
        <v/>
      </c>
      <c r="P307" s="20">
        <f>32</f>
        <v/>
      </c>
      <c r="Q307" s="20">
        <f>J307+L307+N307+O307-P307-M307</f>
        <v/>
      </c>
    </row>
    <row r="308">
      <c r="A308" s="19" t="inlineStr">
        <is>
          <t>5.22-5.28</t>
        </is>
      </c>
      <c r="B308" s="19" t="inlineStr">
        <is>
          <t>PO-128-01100318956151024</t>
        </is>
      </c>
      <c r="C308" s="19" t="inlineStr">
        <is>
          <t>Delivered</t>
        </is>
      </c>
      <c r="D308" s="19" t="inlineStr">
        <is>
          <t>128-01100381870711024</t>
        </is>
      </c>
      <c r="E308" s="19" t="inlineStr">
        <is>
          <t>Delivered</t>
        </is>
      </c>
      <c r="F308" s="19" t="inlineStr">
        <is>
          <t>BS-01</t>
        </is>
      </c>
      <c r="G30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8" s="19" t="inlineStr">
        <is>
          <t>BS-01</t>
        </is>
      </c>
      <c r="I308" s="19" t="n">
        <v>1</v>
      </c>
      <c r="J308" s="20" t="n">
        <v>215</v>
      </c>
      <c r="K308" s="20" t="n">
        <v>253.6</v>
      </c>
      <c r="L308" s="20" t="n">
        <v>25.86</v>
      </c>
      <c r="M308" s="20" t="n">
        <v>0</v>
      </c>
      <c r="N308" s="20">
        <f>K308*0.08+L308*0.08</f>
        <v/>
      </c>
      <c r="O308" s="20">
        <f>-(K308*0.025+L308*0.025)</f>
        <v/>
      </c>
      <c r="P308" s="20">
        <f>32</f>
        <v/>
      </c>
      <c r="Q308" s="20">
        <f>J308+L308+N308+O308-P308-M308</f>
        <v/>
      </c>
    </row>
    <row r="309">
      <c r="A309" s="19" t="inlineStr">
        <is>
          <t>5.22-5.28</t>
        </is>
      </c>
      <c r="B309" s="19" t="inlineStr">
        <is>
          <t>PO-128-00857763825273686</t>
        </is>
      </c>
      <c r="C309" s="19" t="inlineStr">
        <is>
          <t>Delivered</t>
        </is>
      </c>
      <c r="D309" s="19" t="inlineStr">
        <is>
          <t>128-00857784796793686</t>
        </is>
      </c>
      <c r="E309" s="19" t="inlineStr">
        <is>
          <t>Delivered</t>
        </is>
      </c>
      <c r="F309" s="19" t="inlineStr">
        <is>
          <t>BS-01</t>
        </is>
      </c>
      <c r="G30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9" s="19" t="inlineStr">
        <is>
          <t>BS-01</t>
        </is>
      </c>
      <c r="I309" s="19" t="n">
        <v>1</v>
      </c>
      <c r="J309" s="20" t="n">
        <v>215</v>
      </c>
      <c r="K309" s="20" t="n">
        <v>253.6</v>
      </c>
      <c r="L309" s="20" t="n">
        <v>25.86</v>
      </c>
      <c r="M309" s="20" t="n">
        <v>0</v>
      </c>
      <c r="N309" s="20">
        <f>K309*0.08+L309*0.08</f>
        <v/>
      </c>
      <c r="O309" s="20">
        <f>-(K309*0.025+L309*0.025)</f>
        <v/>
      </c>
      <c r="P309" s="20">
        <f>32</f>
        <v/>
      </c>
      <c r="Q309" s="20">
        <f>J309+L309+N309+O309-P309-M309</f>
        <v/>
      </c>
    </row>
    <row r="310">
      <c r="A310" s="19" t="inlineStr">
        <is>
          <t>5.22-5.28</t>
        </is>
      </c>
      <c r="B310" s="19" t="inlineStr">
        <is>
          <t>PO-128-01339040415350691</t>
        </is>
      </c>
      <c r="C310" s="19" t="inlineStr">
        <is>
          <t>Delivered</t>
        </is>
      </c>
      <c r="D310" s="19" t="inlineStr">
        <is>
          <t>128-01339082358390691</t>
        </is>
      </c>
      <c r="E310" s="19" t="inlineStr">
        <is>
          <t>Delivered</t>
        </is>
      </c>
      <c r="F310" s="19" t="inlineStr">
        <is>
          <t>BS-01</t>
        </is>
      </c>
      <c r="G31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0" s="19" t="inlineStr">
        <is>
          <t>BS-01</t>
        </is>
      </c>
      <c r="I310" s="19" t="n">
        <v>1</v>
      </c>
      <c r="J310" s="20" t="n">
        <v>215</v>
      </c>
      <c r="K310" s="20" t="n">
        <v>201.88</v>
      </c>
      <c r="L310" s="20" t="n">
        <v>25.86</v>
      </c>
      <c r="M310" s="20" t="n">
        <v>0</v>
      </c>
      <c r="N310" s="20">
        <f>K310*0.08+L310*0.08</f>
        <v/>
      </c>
      <c r="O310" s="20">
        <f>-(K310*0.025+L310*0.025)</f>
        <v/>
      </c>
      <c r="P310" s="20">
        <f>32</f>
        <v/>
      </c>
      <c r="Q310" s="20">
        <f>J310+L310+N310+O310-P310-M310</f>
        <v/>
      </c>
    </row>
    <row r="311">
      <c r="A311" s="19" t="inlineStr">
        <is>
          <t>5.22-5.28</t>
        </is>
      </c>
      <c r="B311" s="19" t="inlineStr">
        <is>
          <t>PO-128-00711865098873341</t>
        </is>
      </c>
      <c r="C311" s="19" t="inlineStr">
        <is>
          <t>Delivered</t>
        </is>
      </c>
      <c r="D311" s="19" t="inlineStr">
        <is>
          <t>128-00711912284793341</t>
        </is>
      </c>
      <c r="E311" s="19" t="inlineStr">
        <is>
          <t>Delivered</t>
        </is>
      </c>
      <c r="F311" s="19" t="inlineStr">
        <is>
          <t>BS-01</t>
        </is>
      </c>
      <c r="G31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1" s="19" t="inlineStr">
        <is>
          <t>BS-01</t>
        </is>
      </c>
      <c r="I311" s="19" t="n">
        <v>1</v>
      </c>
      <c r="J311" s="20" t="n">
        <v>215</v>
      </c>
      <c r="K311" s="20" t="n">
        <v>196.02</v>
      </c>
      <c r="L311" s="20" t="n">
        <v>25.86</v>
      </c>
      <c r="M311" s="20" t="n">
        <v>0</v>
      </c>
      <c r="N311" s="20">
        <f>K311*0.08+L311*0.08</f>
        <v/>
      </c>
      <c r="O311" s="20">
        <f>-(K311*0.025+L311*0.025)</f>
        <v/>
      </c>
      <c r="P311" s="20">
        <f>32</f>
        <v/>
      </c>
      <c r="Q311" s="20">
        <f>J311+L311+N311+O311-P311-M311</f>
        <v/>
      </c>
    </row>
    <row r="312">
      <c r="A312" s="19" t="inlineStr">
        <is>
          <t>5.22-5.28</t>
        </is>
      </c>
      <c r="B312" s="19" t="inlineStr">
        <is>
          <t>PO-128-00743420933753281</t>
        </is>
      </c>
      <c r="C312" s="19" t="inlineStr">
        <is>
          <t>Delivered</t>
        </is>
      </c>
      <c r="D312" s="19" t="inlineStr">
        <is>
          <t>128-00743525791353281</t>
        </is>
      </c>
      <c r="E312" s="19" t="inlineStr">
        <is>
          <t>Delivered</t>
        </is>
      </c>
      <c r="F312" s="19" t="inlineStr">
        <is>
          <t>BS-01</t>
        </is>
      </c>
      <c r="G31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2" s="19" t="inlineStr">
        <is>
          <t>BS-01</t>
        </is>
      </c>
      <c r="I312" s="19" t="n">
        <v>1</v>
      </c>
      <c r="J312" s="20" t="n">
        <v>215</v>
      </c>
      <c r="K312" s="20" t="n">
        <v>253.6</v>
      </c>
      <c r="L312" s="20" t="n">
        <v>25.86</v>
      </c>
      <c r="M312" s="20" t="n">
        <v>0</v>
      </c>
      <c r="N312" s="20">
        <f>K312*0.08+L312*0.08</f>
        <v/>
      </c>
      <c r="O312" s="20">
        <f>-(K312*0.025+L312*0.025)</f>
        <v/>
      </c>
      <c r="P312" s="20">
        <f>32</f>
        <v/>
      </c>
      <c r="Q312" s="20">
        <f>J312+L312+N312+O312-P312-M312</f>
        <v/>
      </c>
    </row>
    <row r="313">
      <c r="A313" s="19" t="inlineStr">
        <is>
          <t>5.22-5.28</t>
        </is>
      </c>
      <c r="B313" s="19" t="inlineStr">
        <is>
          <t>PO-128-00787600021114040</t>
        </is>
      </c>
      <c r="C313" s="19" t="inlineStr">
        <is>
          <t>Delivered</t>
        </is>
      </c>
      <c r="D313" s="19" t="inlineStr">
        <is>
          <t>128-00787641964154040</t>
        </is>
      </c>
      <c r="E313" s="19" t="inlineStr">
        <is>
          <t>Delivered</t>
        </is>
      </c>
      <c r="F313" s="19" t="inlineStr">
        <is>
          <t>S-10302</t>
        </is>
      </c>
      <c r="G313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313" s="19" t="inlineStr">
        <is>
          <t>s-10302</t>
        </is>
      </c>
      <c r="I313" s="19" t="n">
        <v>1</v>
      </c>
      <c r="J313" s="20" t="n">
        <v>60.34</v>
      </c>
      <c r="K313" s="20" t="n">
        <v>72.23999999999999</v>
      </c>
      <c r="L313" s="20" t="n">
        <v>25.86</v>
      </c>
      <c r="M313" s="20" t="n">
        <v>0</v>
      </c>
      <c r="N313" s="20">
        <f>K313*0.08+L313*0.08</f>
        <v/>
      </c>
      <c r="O313" s="20">
        <f>-(K313*0.025+L313*0.025)</f>
        <v/>
      </c>
      <c r="P313" s="20">
        <f>32</f>
        <v/>
      </c>
      <c r="Q313" s="20">
        <f>J313+L313+N313+O313-P313-M313</f>
        <v/>
      </c>
    </row>
    <row r="314">
      <c r="A314" s="19" t="inlineStr">
        <is>
          <t>5.22-5.28</t>
        </is>
      </c>
      <c r="B314" s="19" t="inlineStr">
        <is>
          <t>PO-128-00974385818232865</t>
        </is>
      </c>
      <c r="C314" s="19" t="inlineStr">
        <is>
          <t>Delivered</t>
        </is>
      </c>
      <c r="D314" s="19" t="inlineStr">
        <is>
          <t>128-00974418586232865</t>
        </is>
      </c>
      <c r="E314" s="19" t="inlineStr">
        <is>
          <t>Delivered</t>
        </is>
      </c>
      <c r="F314" s="19" t="inlineStr">
        <is>
          <t>BS-01</t>
        </is>
      </c>
      <c r="G31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4" s="19" t="inlineStr">
        <is>
          <t>BS-01</t>
        </is>
      </c>
      <c r="I314" s="19" t="n">
        <v>1</v>
      </c>
      <c r="J314" s="20" t="n">
        <v>219</v>
      </c>
      <c r="K314" s="20" t="n">
        <v>257.6</v>
      </c>
      <c r="L314" s="20" t="n">
        <v>25.86</v>
      </c>
      <c r="M314" s="20" t="n">
        <v>0</v>
      </c>
      <c r="N314" s="20">
        <f>K314*0.08+L314*0.08</f>
        <v/>
      </c>
      <c r="O314" s="20">
        <f>-(K314*0.025+L314*0.025)</f>
        <v/>
      </c>
      <c r="P314" s="20">
        <f>32</f>
        <v/>
      </c>
      <c r="Q314" s="20">
        <f>J314+L314+N314+O314-P314-M314</f>
        <v/>
      </c>
    </row>
    <row r="315">
      <c r="A315" s="19" t="inlineStr">
        <is>
          <t>5.22-5.28</t>
        </is>
      </c>
      <c r="B315" s="19" t="inlineStr">
        <is>
          <t>PO-128-00927417144952057</t>
        </is>
      </c>
      <c r="C315" s="19" t="inlineStr">
        <is>
          <t>Delivered</t>
        </is>
      </c>
      <c r="D315" s="19" t="inlineStr">
        <is>
          <t>128-00927375201912057</t>
        </is>
      </c>
      <c r="E315" s="19" t="inlineStr">
        <is>
          <t>Delivered</t>
        </is>
      </c>
      <c r="F315" s="19" t="inlineStr">
        <is>
          <t>BS-01</t>
        </is>
      </c>
      <c r="G31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5" s="19" t="inlineStr">
        <is>
          <t>BS-01</t>
        </is>
      </c>
      <c r="I315" s="19" t="n">
        <v>1</v>
      </c>
      <c r="J315" s="20" t="n">
        <v>219</v>
      </c>
      <c r="K315" s="20" t="n">
        <v>257.6</v>
      </c>
      <c r="L315" s="20" t="n">
        <v>25.86</v>
      </c>
      <c r="M315" s="20" t="n">
        <v>4</v>
      </c>
      <c r="N315" s="20">
        <f>K315*0.08+L315*0.08</f>
        <v/>
      </c>
      <c r="O315" s="20">
        <f>-(K315*0.025+L315*0.025)</f>
        <v/>
      </c>
      <c r="P315" s="20">
        <f>32</f>
        <v/>
      </c>
      <c r="Q315" s="20">
        <f>J315+L315+N315+O315-P315-M315</f>
        <v/>
      </c>
    </row>
    <row r="316">
      <c r="A316" s="19" t="inlineStr">
        <is>
          <t>5.22-5.28</t>
        </is>
      </c>
      <c r="B316" s="19" t="inlineStr">
        <is>
          <t>PO-128-00749513882233309</t>
        </is>
      </c>
      <c r="C316" s="19" t="inlineStr">
        <is>
          <t>Delivered</t>
        </is>
      </c>
      <c r="D316" s="19" t="inlineStr">
        <is>
          <t>128-00749471939193309</t>
        </is>
      </c>
      <c r="E316" s="19" t="inlineStr">
        <is>
          <t>Delivered</t>
        </is>
      </c>
      <c r="F316" s="19" t="inlineStr">
        <is>
          <t>BS-01</t>
        </is>
      </c>
      <c r="G31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6" s="19" t="inlineStr">
        <is>
          <t>BS-01</t>
        </is>
      </c>
      <c r="I316" s="19" t="n">
        <v>1</v>
      </c>
      <c r="J316" s="20" t="n">
        <v>219</v>
      </c>
      <c r="K316" s="20" t="n">
        <v>183.33</v>
      </c>
      <c r="L316" s="20" t="n">
        <v>25.86</v>
      </c>
      <c r="M316" s="20" t="n">
        <v>0</v>
      </c>
      <c r="N316" s="20">
        <f>K316*0.08+L316*0.08</f>
        <v/>
      </c>
      <c r="O316" s="20">
        <f>-(K316*0.025+L316*0.025)</f>
        <v/>
      </c>
      <c r="P316" s="20">
        <f>32</f>
        <v/>
      </c>
      <c r="Q316" s="20">
        <f>J316+L316+N316+O316-P316-M316</f>
        <v/>
      </c>
    </row>
    <row r="317">
      <c r="A317" s="19" t="inlineStr">
        <is>
          <t>5.22-5.28</t>
        </is>
      </c>
      <c r="B317" s="19" t="inlineStr">
        <is>
          <t>PO-128-00843684030073642</t>
        </is>
      </c>
      <c r="C317" s="19" t="inlineStr">
        <is>
          <t>Delivered</t>
        </is>
      </c>
      <c r="D317" s="19" t="inlineStr">
        <is>
          <t>128-00843705001593642</t>
        </is>
      </c>
      <c r="E317" s="19" t="inlineStr">
        <is>
          <t>Delivered</t>
        </is>
      </c>
      <c r="F317" s="19" t="inlineStr">
        <is>
          <t>BS-09</t>
        </is>
      </c>
      <c r="G317" s="19" t="inlineStr">
        <is>
          <t>Altavoz de barra para PC con iluminación RGB, sonido de alta fidelidad y múltiples conexiones: Bluetooth, radio FM, USB, TF, AUX y TWS. Ideal para juegos, reuniones y cine en casa.</t>
        </is>
      </c>
      <c r="H317" s="19" t="inlineStr">
        <is>
          <t>NEGRO</t>
        </is>
      </c>
      <c r="I317" s="19" t="n">
        <v>1</v>
      </c>
      <c r="J317" s="20" t="n">
        <v>117.99</v>
      </c>
      <c r="K317" s="20" t="n">
        <v>146.36</v>
      </c>
      <c r="L317" s="20" t="n">
        <v>25.86</v>
      </c>
      <c r="M317" s="20" t="n">
        <v>0</v>
      </c>
      <c r="N317" s="20">
        <f>K317*0.08+L317*0.08</f>
        <v/>
      </c>
      <c r="O317" s="20">
        <f>-(K317*0.025+L317*0.025)</f>
        <v/>
      </c>
      <c r="P317" s="20">
        <f>32</f>
        <v/>
      </c>
      <c r="Q317" s="20">
        <f>J317+L317+N317+O317-P317-M317</f>
        <v/>
      </c>
    </row>
    <row r="318">
      <c r="A318" s="19" t="inlineStr">
        <is>
          <t>5.22-5.28</t>
        </is>
      </c>
      <c r="B318" s="19" t="inlineStr">
        <is>
          <t>PO-128-00855463859833700</t>
        </is>
      </c>
      <c r="C318" s="19" t="inlineStr">
        <is>
          <t>Delivered</t>
        </is>
      </c>
      <c r="D318" s="19" t="inlineStr">
        <is>
          <t>128-00855442888313700</t>
        </is>
      </c>
      <c r="E318" s="19" t="inlineStr">
        <is>
          <t>Delivered</t>
        </is>
      </c>
      <c r="F318" s="19" t="inlineStr">
        <is>
          <t>BS-01</t>
        </is>
      </c>
      <c r="G31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8" s="19" t="inlineStr">
        <is>
          <t>BS-01</t>
        </is>
      </c>
      <c r="I318" s="19" t="n">
        <v>1</v>
      </c>
      <c r="J318" s="20" t="n">
        <v>219</v>
      </c>
      <c r="K318" s="20" t="n">
        <v>257.6</v>
      </c>
      <c r="L318" s="20" t="n">
        <v>25.86</v>
      </c>
      <c r="M318" s="20" t="n">
        <v>0</v>
      </c>
      <c r="N318" s="20">
        <f>K318*0.08+L318*0.08</f>
        <v/>
      </c>
      <c r="O318" s="20">
        <f>-(K318*0.025+L318*0.025)</f>
        <v/>
      </c>
      <c r="P318" s="20">
        <f>32</f>
        <v/>
      </c>
      <c r="Q318" s="20">
        <f>J318+L318+N318+O318-P318-M318</f>
        <v/>
      </c>
    </row>
    <row r="319">
      <c r="A319" s="19" t="inlineStr">
        <is>
          <t>5.22-5.28</t>
        </is>
      </c>
      <c r="B319" s="19" t="inlineStr">
        <is>
          <t>PO-128-00694032732793510</t>
        </is>
      </c>
      <c r="C319" s="19" t="inlineStr">
        <is>
          <t>Delivered</t>
        </is>
      </c>
      <c r="D319" s="19" t="inlineStr">
        <is>
          <t>128-00693990789753510</t>
        </is>
      </c>
      <c r="E319" s="19" t="inlineStr">
        <is>
          <t>Delivered</t>
        </is>
      </c>
      <c r="F319" s="19" t="inlineStr">
        <is>
          <t>BS-09</t>
        </is>
      </c>
      <c r="G319" s="19" t="inlineStr">
        <is>
          <t>Altavoz de barra para PC con iluminación RGB, sonido de alta fidelidad y múltiples conexiones: Bluetooth, radio FM, USB, TF, AUX y TWS. Ideal para juegos, reuniones y cine en casa.</t>
        </is>
      </c>
      <c r="H319" s="19" t="inlineStr">
        <is>
          <t>NEGRO</t>
        </is>
      </c>
      <c r="I319" s="19" t="n">
        <v>1</v>
      </c>
      <c r="J319" s="20" t="n">
        <v>117.99</v>
      </c>
      <c r="K319" s="20" t="n">
        <v>103.26</v>
      </c>
      <c r="L319" s="20" t="n">
        <v>25.86</v>
      </c>
      <c r="M319" s="20" t="n">
        <v>0</v>
      </c>
      <c r="N319" s="20">
        <f>K319*0.08+L319*0.08</f>
        <v/>
      </c>
      <c r="O319" s="20">
        <f>-(K319*0.025+L319*0.025)</f>
        <v/>
      </c>
      <c r="P319" s="20">
        <f>32</f>
        <v/>
      </c>
      <c r="Q319" s="20">
        <f>J319+L319+N319+O319-P319-M319</f>
        <v/>
      </c>
    </row>
    <row r="320">
      <c r="A320" s="19" t="inlineStr">
        <is>
          <t>5.22-5.28</t>
        </is>
      </c>
      <c r="B320" s="19" t="inlineStr">
        <is>
          <t>PO-128-01304649569911022</t>
        </is>
      </c>
      <c r="C320" s="19" t="inlineStr">
        <is>
          <t>Delivered</t>
        </is>
      </c>
      <c r="D320" s="19" t="inlineStr">
        <is>
          <t>128-01304618112631022</t>
        </is>
      </c>
      <c r="E320" s="19" t="inlineStr">
        <is>
          <t>Delivered</t>
        </is>
      </c>
      <c r="F320" s="19" t="inlineStr">
        <is>
          <t>BS-01</t>
        </is>
      </c>
      <c r="G32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0" s="19" t="inlineStr">
        <is>
          <t>BS-01</t>
        </is>
      </c>
      <c r="I320" s="19" t="n">
        <v>1</v>
      </c>
      <c r="J320" s="20" t="n">
        <v>219</v>
      </c>
      <c r="K320" s="20" t="n">
        <v>257.6</v>
      </c>
      <c r="L320" s="20" t="n">
        <v>25.86</v>
      </c>
      <c r="M320" s="20" t="n">
        <v>0</v>
      </c>
      <c r="N320" s="20">
        <f>K320*0.08+L320*0.08</f>
        <v/>
      </c>
      <c r="O320" s="20">
        <f>-(K320*0.025+L320*0.025)</f>
        <v/>
      </c>
      <c r="P320" s="20">
        <f>32</f>
        <v/>
      </c>
      <c r="Q320" s="20">
        <f>J320+L320+N320+O320-P320-M320</f>
        <v/>
      </c>
    </row>
    <row r="321">
      <c r="A321" s="19" t="inlineStr">
        <is>
          <t>5.22-5.28</t>
        </is>
      </c>
      <c r="B321" s="19" t="inlineStr">
        <is>
          <t>PO-128-01278968955510089</t>
        </is>
      </c>
      <c r="C321" s="19" t="inlineStr">
        <is>
          <t>Delivered</t>
        </is>
      </c>
      <c r="D321" s="19" t="inlineStr">
        <is>
          <t>128-01278989927030089</t>
        </is>
      </c>
      <c r="E321" s="19" t="inlineStr">
        <is>
          <t>Delivered</t>
        </is>
      </c>
      <c r="F321" s="19" t="inlineStr">
        <is>
          <t>BS-01</t>
        </is>
      </c>
      <c r="G32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1" s="19" t="inlineStr">
        <is>
          <t>BS-01</t>
        </is>
      </c>
      <c r="I321" s="19" t="n">
        <v>1</v>
      </c>
      <c r="J321" s="20" t="n">
        <v>219</v>
      </c>
      <c r="K321" s="20" t="n">
        <v>257.6</v>
      </c>
      <c r="L321" s="20" t="n">
        <v>25.86</v>
      </c>
      <c r="M321" s="20" t="n">
        <v>0</v>
      </c>
      <c r="N321" s="20">
        <f>K321*0.08+L321*0.08</f>
        <v/>
      </c>
      <c r="O321" s="20">
        <f>-(K321*0.025+L321*0.025)</f>
        <v/>
      </c>
      <c r="P321" s="20">
        <f>32</f>
        <v/>
      </c>
      <c r="Q321" s="20">
        <f>J321+L321+N321+O321-P321-M321</f>
        <v/>
      </c>
    </row>
    <row r="322">
      <c r="A322" s="19" t="inlineStr">
        <is>
          <t>5.22-5.28</t>
        </is>
      </c>
      <c r="B322" s="19" t="inlineStr">
        <is>
          <t>PO-128-20091120133753670</t>
        </is>
      </c>
      <c r="C322" s="19" t="inlineStr">
        <is>
          <t>Delivered</t>
        </is>
      </c>
      <c r="D322" s="19" t="inlineStr">
        <is>
          <t>128-20091162076793670</t>
        </is>
      </c>
      <c r="E322" s="19" t="inlineStr">
        <is>
          <t>Delivered</t>
        </is>
      </c>
      <c r="F322" s="19" t="inlineStr">
        <is>
          <t>BS-01</t>
        </is>
      </c>
      <c r="G32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2" s="19" t="inlineStr">
        <is>
          <t>BS-01</t>
        </is>
      </c>
      <c r="I322" s="19" t="n">
        <v>1</v>
      </c>
      <c r="J322" s="20" t="n">
        <v>219</v>
      </c>
      <c r="K322" s="20" t="n">
        <v>257.6</v>
      </c>
      <c r="L322" s="20" t="n">
        <v>25.86</v>
      </c>
      <c r="M322" s="20" t="n">
        <v>0</v>
      </c>
      <c r="N322" s="20">
        <f>K322*0.08+L322*0.08</f>
        <v/>
      </c>
      <c r="O322" s="20">
        <f>-(K322*0.025+L322*0.025)</f>
        <v/>
      </c>
      <c r="P322" s="20">
        <f>32</f>
        <v/>
      </c>
      <c r="Q322" s="20">
        <f>J322+L322+N322+O322-P322-M322</f>
        <v/>
      </c>
    </row>
    <row r="323">
      <c r="A323" s="19" t="inlineStr">
        <is>
          <t>5.22-5.28</t>
        </is>
      </c>
      <c r="B323" s="19" t="inlineStr">
        <is>
          <t>PO-128-20207016305273045</t>
        </is>
      </c>
      <c r="C323" s="19" t="inlineStr">
        <is>
          <t>Delivered</t>
        </is>
      </c>
      <c r="D323" s="19" t="inlineStr">
        <is>
          <t>128-20207037276793045</t>
        </is>
      </c>
      <c r="E323" s="19" t="inlineStr">
        <is>
          <t>Delivered</t>
        </is>
      </c>
      <c r="F323" s="19" t="inlineStr">
        <is>
          <t>BS-01</t>
        </is>
      </c>
      <c r="G32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3" s="19" t="inlineStr">
        <is>
          <t>BS-01</t>
        </is>
      </c>
      <c r="I323" s="19" t="n">
        <v>1</v>
      </c>
      <c r="J323" s="20" t="n">
        <v>219</v>
      </c>
      <c r="K323" s="20" t="n">
        <v>257.6</v>
      </c>
      <c r="L323" s="20" t="n">
        <v>25.86</v>
      </c>
      <c r="M323" s="20" t="n">
        <v>0</v>
      </c>
      <c r="N323" s="20">
        <f>K323*0.08+L323*0.08</f>
        <v/>
      </c>
      <c r="O323" s="20">
        <f>-(K323*0.025+L323*0.025)</f>
        <v/>
      </c>
      <c r="P323" s="20">
        <f>32</f>
        <v/>
      </c>
      <c r="Q323" s="20">
        <f>J323+L323+N323+O323-P323-M323</f>
        <v/>
      </c>
    </row>
    <row r="324">
      <c r="A324" s="19" t="inlineStr">
        <is>
          <t>5.22-5.28</t>
        </is>
      </c>
      <c r="B324" s="19" t="inlineStr">
        <is>
          <t>PO-128-20241571492472775</t>
        </is>
      </c>
      <c r="C324" s="19" t="inlineStr">
        <is>
          <t>Delivered</t>
        </is>
      </c>
      <c r="D324" s="19" t="inlineStr">
        <is>
          <t>128-20241676350072775</t>
        </is>
      </c>
      <c r="E324" s="19" t="inlineStr">
        <is>
          <t>Delivered</t>
        </is>
      </c>
      <c r="F324" s="19" t="inlineStr">
        <is>
          <t>BS-01</t>
        </is>
      </c>
      <c r="G32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4" s="19" t="inlineStr">
        <is>
          <t>BS-01</t>
        </is>
      </c>
      <c r="I324" s="19" t="n">
        <v>1</v>
      </c>
      <c r="J324" s="20" t="n">
        <v>219</v>
      </c>
      <c r="K324" s="20" t="n">
        <v>257.6</v>
      </c>
      <c r="L324" s="20" t="n">
        <v>25.86</v>
      </c>
      <c r="M324" s="20" t="n">
        <v>0</v>
      </c>
      <c r="N324" s="20">
        <f>K324*0.08+L324*0.08</f>
        <v/>
      </c>
      <c r="O324" s="20">
        <f>-(K324*0.025+L324*0.025)</f>
        <v/>
      </c>
      <c r="P324" s="20">
        <f>32</f>
        <v/>
      </c>
      <c r="Q324" s="20">
        <f>J324+L324+N324+O324-P324-M324</f>
        <v/>
      </c>
    </row>
    <row r="325">
      <c r="A325" s="19" t="inlineStr">
        <is>
          <t>5.22-5.28</t>
        </is>
      </c>
      <c r="B325" s="19" t="inlineStr">
        <is>
          <t>PO-128-20501165327990202</t>
        </is>
      </c>
      <c r="C325" s="19" t="inlineStr">
        <is>
          <t>Delivered</t>
        </is>
      </c>
      <c r="D325" s="19" t="inlineStr">
        <is>
          <t>128-20501144356470202</t>
        </is>
      </c>
      <c r="E325" s="19" t="inlineStr">
        <is>
          <t>Delivered</t>
        </is>
      </c>
      <c r="F325" s="19" t="inlineStr">
        <is>
          <t>BS-01</t>
        </is>
      </c>
      <c r="G32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5" s="19" t="inlineStr">
        <is>
          <t>BS-01</t>
        </is>
      </c>
      <c r="I325" s="19" t="n">
        <v>1</v>
      </c>
      <c r="J325" s="20" t="n">
        <v>219</v>
      </c>
      <c r="K325" s="20" t="n">
        <v>257.6</v>
      </c>
      <c r="L325" s="20" t="n">
        <v>25.86</v>
      </c>
      <c r="M325" s="20" t="n">
        <v>0</v>
      </c>
      <c r="N325" s="20">
        <f>K325*0.08+L325*0.08</f>
        <v/>
      </c>
      <c r="O325" s="20">
        <f>-(K325*0.025+L325*0.025)</f>
        <v/>
      </c>
      <c r="P325" s="20">
        <f>32</f>
        <v/>
      </c>
      <c r="Q325" s="20">
        <f>J325+L325+N325+O325-P325-M325</f>
        <v/>
      </c>
    </row>
    <row r="326">
      <c r="A326" s="19" t="inlineStr">
        <is>
          <t>5.22-5.28</t>
        </is>
      </c>
      <c r="B326" s="19" t="inlineStr">
        <is>
          <t>PO-128-19973263432313223</t>
        </is>
      </c>
      <c r="C326" s="19" t="inlineStr">
        <is>
          <t>Delivered</t>
        </is>
      </c>
      <c r="D326" s="19" t="inlineStr">
        <is>
          <t>128-19973221489273223</t>
        </is>
      </c>
      <c r="E326" s="19" t="inlineStr">
        <is>
          <t>Delivered</t>
        </is>
      </c>
      <c r="F326" s="19" t="inlineStr">
        <is>
          <t>BS-01</t>
        </is>
      </c>
      <c r="G32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6" s="19" t="inlineStr">
        <is>
          <t>BS-01</t>
        </is>
      </c>
      <c r="I326" s="19" t="n">
        <v>1</v>
      </c>
      <c r="J326" s="20" t="n">
        <v>219</v>
      </c>
      <c r="K326" s="20" t="n">
        <v>257.6</v>
      </c>
      <c r="L326" s="20" t="n">
        <v>25.86</v>
      </c>
      <c r="M326" s="20" t="n">
        <v>0</v>
      </c>
      <c r="N326" s="20">
        <f>K326*0.08+L326*0.08</f>
        <v/>
      </c>
      <c r="O326" s="20">
        <f>-(K326*0.025+L326*0.025)</f>
        <v/>
      </c>
      <c r="P326" s="20">
        <f>32</f>
        <v/>
      </c>
      <c r="Q326" s="20">
        <f>J326+L326+N326+O326-P326-M326</f>
        <v/>
      </c>
    </row>
    <row r="327">
      <c r="A327" s="19" t="inlineStr">
        <is>
          <t>5.22-5.28</t>
        </is>
      </c>
      <c r="B327" s="19" t="inlineStr">
        <is>
          <t>PO-128-20216352855672860</t>
        </is>
      </c>
      <c r="C327" s="19" t="inlineStr">
        <is>
          <t>Delivered</t>
        </is>
      </c>
      <c r="D327" s="19" t="inlineStr">
        <is>
          <t>128-20216310912632860</t>
        </is>
      </c>
      <c r="E327" s="19" t="inlineStr">
        <is>
          <t>Delivered</t>
        </is>
      </c>
      <c r="F327" s="19" t="inlineStr">
        <is>
          <t>BS-01</t>
        </is>
      </c>
      <c r="G32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7" s="19" t="inlineStr">
        <is>
          <t>BS-01</t>
        </is>
      </c>
      <c r="I327" s="19" t="n">
        <v>1</v>
      </c>
      <c r="J327" s="20" t="n">
        <v>219</v>
      </c>
      <c r="K327" s="20" t="n">
        <v>257.6</v>
      </c>
      <c r="L327" s="20" t="n">
        <v>25.86</v>
      </c>
      <c r="M327" s="20" t="n">
        <v>0</v>
      </c>
      <c r="N327" s="20">
        <f>K327*0.08+L327*0.08</f>
        <v/>
      </c>
      <c r="O327" s="20">
        <f>-(K327*0.025+L327*0.025)</f>
        <v/>
      </c>
      <c r="P327" s="20">
        <f>32</f>
        <v/>
      </c>
      <c r="Q327" s="20">
        <f>J327+L327+N327+O327-P327-M327</f>
        <v/>
      </c>
    </row>
    <row r="328">
      <c r="A328" s="19" t="inlineStr">
        <is>
          <t>5.22-5.28</t>
        </is>
      </c>
      <c r="B328" s="19" t="inlineStr">
        <is>
          <t>PO-128-20001731569273117</t>
        </is>
      </c>
      <c r="C328" s="19" t="inlineStr">
        <is>
          <t>Delivered</t>
        </is>
      </c>
      <c r="D328" s="19" t="inlineStr">
        <is>
          <t>128-20001783998073117</t>
        </is>
      </c>
      <c r="E328" s="19" t="inlineStr">
        <is>
          <t>Delivered</t>
        </is>
      </c>
      <c r="F328" s="19" t="inlineStr">
        <is>
          <t>BS-01</t>
        </is>
      </c>
      <c r="G32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8" s="19" t="inlineStr">
        <is>
          <t>BS-01</t>
        </is>
      </c>
      <c r="I328" s="19" t="n">
        <v>1</v>
      </c>
      <c r="J328" s="20" t="n">
        <v>219</v>
      </c>
      <c r="K328" s="20" t="n">
        <v>257.6</v>
      </c>
      <c r="L328" s="20" t="n">
        <v>25.86</v>
      </c>
      <c r="M328" s="20" t="n">
        <v>0</v>
      </c>
      <c r="N328" s="20">
        <f>K328*0.08+L328*0.08</f>
        <v/>
      </c>
      <c r="O328" s="20">
        <f>-(K328*0.025+L328*0.025)</f>
        <v/>
      </c>
      <c r="P328" s="20">
        <f>32</f>
        <v/>
      </c>
      <c r="Q328" s="20">
        <f>J328+L328+N328+O328-P328-M328</f>
        <v/>
      </c>
    </row>
    <row r="329">
      <c r="A329" s="19" t="inlineStr">
        <is>
          <t>5.22-5.28</t>
        </is>
      </c>
      <c r="B329" s="19" t="inlineStr">
        <is>
          <t>PO-128-20211737380472825</t>
        </is>
      </c>
      <c r="C329" s="19" t="inlineStr">
        <is>
          <t>Delivered</t>
        </is>
      </c>
      <c r="D329" s="19" t="inlineStr">
        <is>
          <t>128-20211747866232825</t>
        </is>
      </c>
      <c r="E329" s="19" t="inlineStr">
        <is>
          <t>Delivered</t>
        </is>
      </c>
      <c r="F329" s="19" t="inlineStr">
        <is>
          <t>BS-01</t>
        </is>
      </c>
      <c r="G32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9" s="19" t="inlineStr">
        <is>
          <t>BS-01</t>
        </is>
      </c>
      <c r="I329" s="19" t="n">
        <v>1</v>
      </c>
      <c r="J329" s="20" t="n">
        <v>219</v>
      </c>
      <c r="K329" s="20" t="n">
        <v>218.96</v>
      </c>
      <c r="L329" s="20" t="n">
        <v>25.86</v>
      </c>
      <c r="M329" s="20" t="n">
        <v>0</v>
      </c>
      <c r="N329" s="20">
        <f>K329*0.08+L329*0.08</f>
        <v/>
      </c>
      <c r="O329" s="20">
        <f>-(K329*0.025+L329*0.025)</f>
        <v/>
      </c>
      <c r="P329" s="20">
        <f>32</f>
        <v/>
      </c>
      <c r="Q329" s="20">
        <f>J329+L329+N329+O329-P329-M329</f>
        <v/>
      </c>
    </row>
    <row r="330">
      <c r="A330" s="19" t="inlineStr">
        <is>
          <t>5.22-5.28</t>
        </is>
      </c>
      <c r="B330" s="19" t="inlineStr">
        <is>
          <t>PO-128-20119776768632541</t>
        </is>
      </c>
      <c r="C330" s="19" t="inlineStr">
        <is>
          <t>Delivered</t>
        </is>
      </c>
      <c r="D330" s="19" t="inlineStr">
        <is>
          <t>128-20119881626232541</t>
        </is>
      </c>
      <c r="E330" s="19" t="inlineStr">
        <is>
          <t>Delivered</t>
        </is>
      </c>
      <c r="F330" s="19" t="inlineStr">
        <is>
          <t>BS-01</t>
        </is>
      </c>
      <c r="G33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0" s="19" t="inlineStr">
        <is>
          <t>BS-01</t>
        </is>
      </c>
      <c r="I330" s="19" t="n">
        <v>1</v>
      </c>
      <c r="J330" s="20" t="n">
        <v>219</v>
      </c>
      <c r="K330" s="20" t="n">
        <v>257.6</v>
      </c>
      <c r="L330" s="20" t="n">
        <v>25.86</v>
      </c>
      <c r="M330" s="20" t="n">
        <v>0</v>
      </c>
      <c r="N330" s="20">
        <f>K330*0.08+L330*0.08</f>
        <v/>
      </c>
      <c r="O330" s="20">
        <f>-(K330*0.025+L330*0.025)</f>
        <v/>
      </c>
      <c r="P330" s="20">
        <f>32</f>
        <v/>
      </c>
      <c r="Q330" s="20">
        <f>J330+L330+N330+O330-P330-M330</f>
        <v/>
      </c>
    </row>
    <row r="331">
      <c r="A331" s="19" t="inlineStr">
        <is>
          <t>5.22-5.28</t>
        </is>
      </c>
      <c r="B331" s="19" t="inlineStr">
        <is>
          <t>PO-128-20446807245430398</t>
        </is>
      </c>
      <c r="C331" s="19" t="inlineStr">
        <is>
          <t>Delivered</t>
        </is>
      </c>
      <c r="D331" s="19" t="inlineStr">
        <is>
          <t>128-20446849188470398</t>
        </is>
      </c>
      <c r="E331" s="19" t="inlineStr">
        <is>
          <t>Delivered</t>
        </is>
      </c>
      <c r="F331" s="19" t="inlineStr">
        <is>
          <t>BS-01</t>
        </is>
      </c>
      <c r="G33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1" s="19" t="inlineStr">
        <is>
          <t>BS-01</t>
        </is>
      </c>
      <c r="I331" s="19" t="n">
        <v>1</v>
      </c>
      <c r="J331" s="20" t="n">
        <v>219</v>
      </c>
      <c r="K331" s="20" t="n">
        <v>206.08</v>
      </c>
      <c r="L331" s="20" t="n">
        <v>25.86</v>
      </c>
      <c r="M331" s="20" t="n">
        <v>0</v>
      </c>
      <c r="N331" s="20">
        <f>K331*0.08+L331*0.08</f>
        <v/>
      </c>
      <c r="O331" s="20">
        <f>-(K331*0.025+L331*0.025)</f>
        <v/>
      </c>
      <c r="P331" s="20">
        <f>32</f>
        <v/>
      </c>
      <c r="Q331" s="20">
        <f>J331+L331+N331+O331-P331-M331</f>
        <v/>
      </c>
    </row>
    <row r="332">
      <c r="A332" s="19" t="inlineStr">
        <is>
          <t>5.22-5.28</t>
        </is>
      </c>
      <c r="B332" s="19" t="inlineStr">
        <is>
          <t>PO-128-20430211180151587</t>
        </is>
      </c>
      <c r="C332" s="19" t="inlineStr">
        <is>
          <t>Delivered</t>
        </is>
      </c>
      <c r="D332" s="19" t="inlineStr">
        <is>
          <t>128-20430279337591587</t>
        </is>
      </c>
      <c r="E332" s="19" t="inlineStr">
        <is>
          <t>Delivered</t>
        </is>
      </c>
      <c r="F332" s="19" t="inlineStr">
        <is>
          <t>BS-01</t>
        </is>
      </c>
      <c r="G33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2" s="19" t="inlineStr">
        <is>
          <t>BS-01</t>
        </is>
      </c>
      <c r="I332" s="19" t="n">
        <v>1</v>
      </c>
      <c r="J332" s="20" t="n">
        <v>219</v>
      </c>
      <c r="K332" s="20" t="n">
        <v>257.6</v>
      </c>
      <c r="L332" s="20" t="n">
        <v>25.86</v>
      </c>
      <c r="M332" s="20" t="n">
        <v>0</v>
      </c>
      <c r="N332" s="20">
        <f>K332*0.08+L332*0.08</f>
        <v/>
      </c>
      <c r="O332" s="20">
        <f>-(K332*0.025+L332*0.025)</f>
        <v/>
      </c>
      <c r="P332" s="20">
        <f>32</f>
        <v/>
      </c>
      <c r="Q332" s="20">
        <f>J332+L332+N332+O332-P332-M332</f>
        <v/>
      </c>
    </row>
    <row r="333">
      <c r="A333" s="19" t="inlineStr">
        <is>
          <t>5.29-6.4</t>
        </is>
      </c>
      <c r="B333" s="19" t="inlineStr">
        <is>
          <t>PO-128-13959585782391691</t>
        </is>
      </c>
      <c r="C333" s="19" t="inlineStr">
        <is>
          <t>Shipped</t>
        </is>
      </c>
      <c r="D333" s="19" t="inlineStr">
        <is>
          <t>128-13959638211191691</t>
        </is>
      </c>
      <c r="E333" s="19" t="inlineStr">
        <is>
          <t>Shipped</t>
        </is>
      </c>
      <c r="F333" s="19" t="inlineStr">
        <is>
          <t>BS-01</t>
        </is>
      </c>
      <c r="G33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3" s="19" t="inlineStr">
        <is>
          <t>BS-01</t>
        </is>
      </c>
      <c r="I333" s="19" t="n">
        <v>1</v>
      </c>
      <c r="J333" s="20" t="n">
        <v>219</v>
      </c>
      <c r="K333" s="20" t="n">
        <v>257.6</v>
      </c>
      <c r="L333" s="20" t="n">
        <v>25.86</v>
      </c>
      <c r="M333" s="20" t="n">
        <v>0</v>
      </c>
      <c r="N333" s="20">
        <f>K333*0.08+L333*0.08</f>
        <v/>
      </c>
      <c r="O333" s="20">
        <f>-(K333*0.025+L333*0.025)</f>
        <v/>
      </c>
      <c r="P333" s="20">
        <f>32</f>
        <v/>
      </c>
      <c r="Q333" s="20">
        <f>J333+L333+N333+O333-P333-M333</f>
        <v/>
      </c>
    </row>
    <row r="334">
      <c r="A334" s="19" t="inlineStr">
        <is>
          <t>5.29-6.4</t>
        </is>
      </c>
      <c r="B334" s="19" t="inlineStr">
        <is>
          <t>PO-128-13853656013430272</t>
        </is>
      </c>
      <c r="C334" s="19" t="inlineStr">
        <is>
          <t>Shipped</t>
        </is>
      </c>
      <c r="D334" s="19" t="inlineStr">
        <is>
          <t>128-13853676984950272</t>
        </is>
      </c>
      <c r="E334" s="19" t="inlineStr">
        <is>
          <t>Shipped</t>
        </is>
      </c>
      <c r="F334" s="19" t="inlineStr">
        <is>
          <t>BS-01</t>
        </is>
      </c>
      <c r="G33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4" s="19" t="inlineStr">
        <is>
          <t>BS-01</t>
        </is>
      </c>
      <c r="I334" s="19" t="n">
        <v>1</v>
      </c>
      <c r="J334" s="20" t="n">
        <v>219</v>
      </c>
      <c r="K334" s="20" t="n">
        <v>257.6</v>
      </c>
      <c r="L334" s="20" t="n">
        <v>25.86</v>
      </c>
      <c r="M334" s="20" t="n">
        <v>0</v>
      </c>
      <c r="N334" s="20">
        <f>K334*0.08+L334*0.08</f>
        <v/>
      </c>
      <c r="O334" s="20">
        <f>-(K334*0.025+L334*0.025)</f>
        <v/>
      </c>
      <c r="P334" s="20">
        <f>32</f>
        <v/>
      </c>
      <c r="Q334" s="20">
        <f>J334+L334+N334+O334-P334-M334</f>
        <v/>
      </c>
    </row>
    <row r="335">
      <c r="A335" s="19" t="inlineStr">
        <is>
          <t>5.29-6.4</t>
        </is>
      </c>
      <c r="B335" s="19" t="inlineStr">
        <is>
          <t>PO-128-13772133417590822</t>
        </is>
      </c>
      <c r="C335" s="19" t="inlineStr">
        <is>
          <t>Shipped</t>
        </is>
      </c>
      <c r="D335" s="19" t="inlineStr">
        <is>
          <t>128-13772159631990822</t>
        </is>
      </c>
      <c r="E335" s="19" t="inlineStr">
        <is>
          <t>Shipped</t>
        </is>
      </c>
      <c r="F335" s="19" t="inlineStr">
        <is>
          <t>BS-01</t>
        </is>
      </c>
      <c r="G33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5" s="19" t="inlineStr">
        <is>
          <t>BS-01</t>
        </is>
      </c>
      <c r="I335" s="19" t="n">
        <v>1</v>
      </c>
      <c r="J335" s="20" t="n">
        <v>219</v>
      </c>
      <c r="K335" s="20" t="n">
        <v>257.6</v>
      </c>
      <c r="L335" s="20" t="n">
        <v>25.86</v>
      </c>
      <c r="M335" s="20" t="n">
        <v>0</v>
      </c>
      <c r="N335" s="20">
        <f>K335*0.08+L335*0.08</f>
        <v/>
      </c>
      <c r="O335" s="20">
        <f>-(K335*0.025+L335*0.025)</f>
        <v/>
      </c>
      <c r="P335" s="20">
        <f>32</f>
        <v/>
      </c>
      <c r="Q335" s="20">
        <f>J335+L335+N335+O335-P335-M335</f>
        <v/>
      </c>
    </row>
    <row r="336">
      <c r="A336" s="19" t="inlineStr">
        <is>
          <t>5.29-6.4</t>
        </is>
      </c>
      <c r="B336" s="19" t="inlineStr">
        <is>
          <t>PO-128-14321341799033823</t>
        </is>
      </c>
      <c r="C336" s="19" t="inlineStr">
        <is>
          <t>Shipped</t>
        </is>
      </c>
      <c r="D336" s="19" t="inlineStr">
        <is>
          <t>128-14321299855993823</t>
        </is>
      </c>
      <c r="E336" s="19" t="inlineStr">
        <is>
          <t>Shipped</t>
        </is>
      </c>
      <c r="F336" s="19" t="inlineStr">
        <is>
          <t>BS-01</t>
        </is>
      </c>
      <c r="G33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6" s="19" t="inlineStr">
        <is>
          <t>BS-01</t>
        </is>
      </c>
      <c r="I336" s="19" t="n">
        <v>1</v>
      </c>
      <c r="J336" s="20" t="n">
        <v>219</v>
      </c>
      <c r="K336" s="20" t="n">
        <v>257.6</v>
      </c>
      <c r="L336" s="20" t="n">
        <v>25.86</v>
      </c>
      <c r="M336" s="20" t="n">
        <v>0</v>
      </c>
      <c r="N336" s="20">
        <f>K336*0.08+L336*0.08</f>
        <v/>
      </c>
      <c r="O336" s="20">
        <f>-(K336*0.025+L336*0.025)</f>
        <v/>
      </c>
      <c r="P336" s="20">
        <f>32</f>
        <v/>
      </c>
      <c r="Q336" s="20">
        <f>J336+L336+N336+O336-P336-M336</f>
        <v/>
      </c>
    </row>
    <row r="337">
      <c r="A337" s="19" t="inlineStr">
        <is>
          <t>5.29-6.4</t>
        </is>
      </c>
      <c r="B337" s="19" t="inlineStr">
        <is>
          <t>PO-128-03323658959993836</t>
        </is>
      </c>
      <c r="C337" s="19" t="inlineStr">
        <is>
          <t>Shipped</t>
        </is>
      </c>
      <c r="D337" s="19" t="inlineStr">
        <is>
          <t>128-03323727117433836</t>
        </is>
      </c>
      <c r="E337" s="19" t="inlineStr">
        <is>
          <t>Shipped</t>
        </is>
      </c>
      <c r="F337" s="19" t="inlineStr">
        <is>
          <t>BS-01</t>
        </is>
      </c>
      <c r="G33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7" s="19" t="inlineStr">
        <is>
          <t>BS-01</t>
        </is>
      </c>
      <c r="I337" s="19" t="n">
        <v>1</v>
      </c>
      <c r="J337" s="20" t="n">
        <v>219</v>
      </c>
      <c r="K337" s="20" t="n">
        <v>206.08</v>
      </c>
      <c r="L337" s="20" t="n">
        <v>25.86</v>
      </c>
      <c r="M337" s="20" t="n">
        <v>0</v>
      </c>
      <c r="N337" s="20">
        <f>K337*0.08+L337*0.08</f>
        <v/>
      </c>
      <c r="O337" s="20">
        <f>-(K337*0.025+L337*0.025)</f>
        <v/>
      </c>
      <c r="P337" s="20">
        <f>32</f>
        <v/>
      </c>
      <c r="Q337" s="20">
        <f>J337+L337+N337+O337-P337-M337</f>
        <v/>
      </c>
    </row>
    <row r="338">
      <c r="A338" s="19" t="inlineStr">
        <is>
          <t>5.29-6.4</t>
        </is>
      </c>
      <c r="B338" s="19" t="inlineStr">
        <is>
          <t>PO-128-02942488476791820</t>
        </is>
      </c>
      <c r="C338" s="19" t="inlineStr">
        <is>
          <t>Shipped</t>
        </is>
      </c>
      <c r="D338" s="19" t="inlineStr">
        <is>
          <t>128-02942540905591820</t>
        </is>
      </c>
      <c r="E338" s="19" t="inlineStr">
        <is>
          <t>Shipped</t>
        </is>
      </c>
      <c r="F338" s="19" t="inlineStr">
        <is>
          <t>BS-01</t>
        </is>
      </c>
      <c r="G33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8" s="19" t="inlineStr">
        <is>
          <t>BS-01</t>
        </is>
      </c>
      <c r="I338" s="19" t="n">
        <v>1</v>
      </c>
      <c r="J338" s="20" t="n">
        <v>219</v>
      </c>
      <c r="K338" s="20" t="n">
        <v>257.6</v>
      </c>
      <c r="L338" s="20" t="n">
        <v>25.86</v>
      </c>
      <c r="M338" s="20" t="n">
        <v>0</v>
      </c>
      <c r="N338" s="20">
        <f>K338*0.08+L338*0.08</f>
        <v/>
      </c>
      <c r="O338" s="20">
        <f>-(K338*0.025+L338*0.025)</f>
        <v/>
      </c>
      <c r="P338" s="20">
        <f>32</f>
        <v/>
      </c>
      <c r="Q338" s="20">
        <f>J338+L338+N338+O338-P338-M338</f>
        <v/>
      </c>
    </row>
    <row r="339">
      <c r="A339" s="19" t="inlineStr">
        <is>
          <t>5.29-6.4</t>
        </is>
      </c>
      <c r="B339" s="19" t="inlineStr">
        <is>
          <t>PO-128-02862873813110310</t>
        </is>
      </c>
      <c r="C339" s="19" t="inlineStr">
        <is>
          <t>Shipped</t>
        </is>
      </c>
      <c r="D339" s="19" t="inlineStr">
        <is>
          <t>128-02862941970550310</t>
        </is>
      </c>
      <c r="E339" s="19" t="inlineStr">
        <is>
          <t>Shipped</t>
        </is>
      </c>
      <c r="F339" s="19" t="inlineStr">
        <is>
          <t>BS-01</t>
        </is>
      </c>
      <c r="G33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9" s="19" t="inlineStr">
        <is>
          <t>BS-01</t>
        </is>
      </c>
      <c r="I339" s="19" t="n">
        <v>1</v>
      </c>
      <c r="J339" s="20" t="n">
        <v>219</v>
      </c>
      <c r="K339" s="20" t="n">
        <v>257.6</v>
      </c>
      <c r="L339" s="20" t="n">
        <v>25.86</v>
      </c>
      <c r="M339" s="20" t="n">
        <v>0</v>
      </c>
      <c r="N339" s="20">
        <f>K339*0.08+L339*0.08</f>
        <v/>
      </c>
      <c r="O339" s="20">
        <f>-(K339*0.025+L339*0.025)</f>
        <v/>
      </c>
      <c r="P339" s="20">
        <f>32</f>
        <v/>
      </c>
      <c r="Q339" s="20">
        <f>J339+L339+N339+O339-P339-M339</f>
        <v/>
      </c>
    </row>
    <row r="340">
      <c r="A340" s="19" t="inlineStr">
        <is>
          <t>5.29-6.4</t>
        </is>
      </c>
      <c r="B340" s="19" t="inlineStr">
        <is>
          <t>PO-128-03128328338552888</t>
        </is>
      </c>
      <c r="C340" s="19" t="inlineStr">
        <is>
          <t>Shipped</t>
        </is>
      </c>
      <c r="D340" s="19" t="inlineStr">
        <is>
          <t>128-03128370281592888</t>
        </is>
      </c>
      <c r="E340" s="19" t="inlineStr">
        <is>
          <t>Shipped</t>
        </is>
      </c>
      <c r="F340" s="19" t="inlineStr">
        <is>
          <t>BS-01</t>
        </is>
      </c>
      <c r="G34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0" s="19" t="inlineStr">
        <is>
          <t>BS-01</t>
        </is>
      </c>
      <c r="I340" s="19" t="n">
        <v>1</v>
      </c>
      <c r="J340" s="20" t="n">
        <v>219</v>
      </c>
      <c r="K340" s="20" t="n">
        <v>257.6</v>
      </c>
      <c r="L340" s="20" t="n">
        <v>25.86</v>
      </c>
      <c r="M340" s="20" t="n">
        <v>0</v>
      </c>
      <c r="N340" s="20">
        <f>K340*0.08+L340*0.08</f>
        <v/>
      </c>
      <c r="O340" s="20">
        <f>-(K340*0.025+L340*0.025)</f>
        <v/>
      </c>
      <c r="P340" s="20">
        <f>32</f>
        <v/>
      </c>
      <c r="Q340" s="20">
        <f>J340+L340+N340+O340-P340-M340</f>
        <v/>
      </c>
    </row>
    <row r="341">
      <c r="A341" s="19" t="inlineStr">
        <is>
          <t>5.29-6.4</t>
        </is>
      </c>
      <c r="B341" s="19" t="inlineStr">
        <is>
          <t>PO-128-03414038387833299</t>
        </is>
      </c>
      <c r="C341" s="19" t="inlineStr">
        <is>
          <t>Shipped</t>
        </is>
      </c>
      <c r="D341" s="19" t="inlineStr">
        <is>
          <t>128-03414080330873299</t>
        </is>
      </c>
      <c r="E341" s="19" t="inlineStr">
        <is>
          <t>Shipped</t>
        </is>
      </c>
      <c r="F341" s="19" t="inlineStr">
        <is>
          <t>BS-09</t>
        </is>
      </c>
      <c r="G341" s="19" t="inlineStr">
        <is>
          <t>Altavoz de barra para PC con iluminación RGB, sonido de alta fidelidad y múltiples conexiones: Bluetooth, radio FM, USB, TF, AUX y TWS. Ideal para juegos, reuniones y cine en casa.</t>
        </is>
      </c>
      <c r="H341" s="19" t="inlineStr">
        <is>
          <t>NEGRO</t>
        </is>
      </c>
      <c r="I341" s="19" t="n">
        <v>1</v>
      </c>
      <c r="J341" s="20" t="n">
        <v>117.99</v>
      </c>
      <c r="K341" s="20" t="n">
        <v>146.36</v>
      </c>
      <c r="L341" s="20" t="n">
        <v>25.86</v>
      </c>
      <c r="M341" s="20" t="n">
        <v>0</v>
      </c>
      <c r="N341" s="20">
        <f>K341*0.08+L341*0.08</f>
        <v/>
      </c>
      <c r="O341" s="20">
        <f>-(K341*0.025+L341*0.025)</f>
        <v/>
      </c>
      <c r="P341" s="20">
        <f>32</f>
        <v/>
      </c>
      <c r="Q341" s="20">
        <f>J341+L341+N341+O341-P341-M341</f>
        <v/>
      </c>
    </row>
    <row r="342">
      <c r="A342" s="19" t="inlineStr">
        <is>
          <t>5.29-6.4</t>
        </is>
      </c>
      <c r="B342" s="19" t="inlineStr">
        <is>
          <t>PO-128-02910764982390091</t>
        </is>
      </c>
      <c r="C342" s="19" t="inlineStr">
        <is>
          <t>Shipped</t>
        </is>
      </c>
      <c r="D342" s="19" t="inlineStr">
        <is>
          <t>128-02910782021750091</t>
        </is>
      </c>
      <c r="E342" s="19" t="inlineStr">
        <is>
          <t>Shipped</t>
        </is>
      </c>
      <c r="F342" s="19" t="inlineStr">
        <is>
          <t>BS-01</t>
        </is>
      </c>
      <c r="G34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2" s="19" t="inlineStr">
        <is>
          <t>BS-01</t>
        </is>
      </c>
      <c r="I342" s="19" t="n">
        <v>1</v>
      </c>
      <c r="J342" s="20" t="n">
        <v>219</v>
      </c>
      <c r="K342" s="20" t="n">
        <v>257.6</v>
      </c>
      <c r="L342" s="20" t="n">
        <v>25.86</v>
      </c>
      <c r="M342" s="20" t="n">
        <v>0</v>
      </c>
      <c r="N342" s="20">
        <f>K342*0.08+L342*0.08</f>
        <v/>
      </c>
      <c r="O342" s="20">
        <f>-(K342*0.025+L342*0.025)</f>
        <v/>
      </c>
      <c r="P342" s="20">
        <f>32</f>
        <v/>
      </c>
      <c r="Q342" s="20">
        <f>J342+L342+N342+O342-P342-M342</f>
        <v/>
      </c>
    </row>
    <row r="343">
      <c r="A343" s="19" t="inlineStr">
        <is>
          <t>5.29-6.4</t>
        </is>
      </c>
      <c r="B343" s="19" t="inlineStr">
        <is>
          <t>PO-128-03386055004793400</t>
        </is>
      </c>
      <c r="C343" s="19" t="inlineStr">
        <is>
          <t>Shipped</t>
        </is>
      </c>
      <c r="D343" s="19" t="inlineStr">
        <is>
          <t>128-03386034033273400</t>
        </is>
      </c>
      <c r="E343" s="19" t="inlineStr">
        <is>
          <t>Shipped</t>
        </is>
      </c>
      <c r="F343" s="19" t="inlineStr">
        <is>
          <t>BS-01</t>
        </is>
      </c>
      <c r="G34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3" s="19" t="inlineStr">
        <is>
          <t>BS-01</t>
        </is>
      </c>
      <c r="I343" s="19" t="n">
        <v>1</v>
      </c>
      <c r="J343" s="20" t="n">
        <v>219</v>
      </c>
      <c r="K343" s="20" t="n">
        <v>206.09</v>
      </c>
      <c r="L343" s="20" t="n">
        <v>25.86</v>
      </c>
      <c r="M343" s="20" t="n">
        <v>0</v>
      </c>
      <c r="N343" s="20">
        <f>K343*0.08+L343*0.08</f>
        <v/>
      </c>
      <c r="O343" s="20">
        <f>-(K343*0.025+L343*0.025)</f>
        <v/>
      </c>
      <c r="P343" s="20">
        <f>32</f>
        <v/>
      </c>
      <c r="Q343" s="20">
        <f>J343+L343+N343+O343-P343-M343</f>
        <v/>
      </c>
    </row>
    <row r="344">
      <c r="A344" s="19" t="inlineStr">
        <is>
          <t>5.29-6.4</t>
        </is>
      </c>
      <c r="B344" s="19" t="inlineStr">
        <is>
          <t>PO-128-03379557704313377</t>
        </is>
      </c>
      <c r="C344" s="19" t="inlineStr">
        <is>
          <t>Shipped</t>
        </is>
      </c>
      <c r="D344" s="19" t="inlineStr">
        <is>
          <t>128-03379578675833377</t>
        </is>
      </c>
      <c r="E344" s="19" t="inlineStr">
        <is>
          <t>Shipped</t>
        </is>
      </c>
      <c r="F344" s="19" t="inlineStr">
        <is>
          <t>BS-01</t>
        </is>
      </c>
      <c r="G34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4" s="19" t="inlineStr">
        <is>
          <t>BS-01</t>
        </is>
      </c>
      <c r="I344" s="19" t="n">
        <v>1</v>
      </c>
      <c r="J344" s="20" t="n">
        <v>219</v>
      </c>
      <c r="K344" s="20" t="n">
        <v>257.6</v>
      </c>
      <c r="L344" s="20" t="n">
        <v>25.86</v>
      </c>
      <c r="M344" s="20" t="n">
        <v>0</v>
      </c>
      <c r="N344" s="20">
        <f>K344*0.08+L344*0.08</f>
        <v/>
      </c>
      <c r="O344" s="20">
        <f>-(K344*0.025+L344*0.025)</f>
        <v/>
      </c>
      <c r="P344" s="20">
        <f>32</f>
        <v/>
      </c>
      <c r="Q344" s="20">
        <f>J344+L344+N344+O344-P344-M344</f>
        <v/>
      </c>
    </row>
    <row r="345">
      <c r="A345" s="19" t="inlineStr">
        <is>
          <t>5.29-6.4</t>
        </is>
      </c>
      <c r="B345" s="19" t="inlineStr">
        <is>
          <t>PO-128-02988294902391549</t>
        </is>
      </c>
      <c r="C345" s="19" t="inlineStr">
        <is>
          <t>Shipped</t>
        </is>
      </c>
      <c r="D345" s="19" t="inlineStr">
        <is>
          <t>128-02988231742071549</t>
        </is>
      </c>
      <c r="E345" s="19" t="inlineStr">
        <is>
          <t>Shipped</t>
        </is>
      </c>
      <c r="F345" s="19" t="inlineStr">
        <is>
          <t>BS-01</t>
        </is>
      </c>
      <c r="G34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5" s="19" t="inlineStr">
        <is>
          <t>BS-01</t>
        </is>
      </c>
      <c r="I345" s="19" t="n">
        <v>1</v>
      </c>
      <c r="J345" s="20" t="n">
        <v>219</v>
      </c>
      <c r="K345" s="20" t="n">
        <v>257.6</v>
      </c>
      <c r="L345" s="20" t="n">
        <v>25.86</v>
      </c>
      <c r="M345" s="20" t="n">
        <v>0</v>
      </c>
      <c r="N345" s="20">
        <f>K345*0.08+L345*0.08</f>
        <v/>
      </c>
      <c r="O345" s="20">
        <f>-(K345*0.025+L345*0.025)</f>
        <v/>
      </c>
      <c r="P345" s="20">
        <f>32</f>
        <v/>
      </c>
      <c r="Q345" s="20">
        <f>J345+L345+N345+O345-P345-M345</f>
        <v/>
      </c>
    </row>
    <row r="346">
      <c r="A346" s="19" t="inlineStr">
        <is>
          <t>5.29-6.4</t>
        </is>
      </c>
      <c r="B346" s="19" t="inlineStr">
        <is>
          <t>PO-128-03307005481593937</t>
        </is>
      </c>
      <c r="C346" s="19" t="inlineStr">
        <is>
          <t>Shipped</t>
        </is>
      </c>
      <c r="D346" s="19" t="inlineStr">
        <is>
          <t>128-03306989752953937</t>
        </is>
      </c>
      <c r="E346" s="19" t="inlineStr">
        <is>
          <t>Shipped</t>
        </is>
      </c>
      <c r="F346" s="19" t="inlineStr">
        <is>
          <t>BS-01</t>
        </is>
      </c>
      <c r="G34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6" s="19" t="inlineStr">
        <is>
          <t>BS-01</t>
        </is>
      </c>
      <c r="I346" s="19" t="n">
        <v>1</v>
      </c>
      <c r="J346" s="20" t="n">
        <v>219</v>
      </c>
      <c r="K346" s="20" t="n">
        <v>252.57</v>
      </c>
      <c r="L346" s="20" t="n">
        <v>25.86</v>
      </c>
      <c r="M346" s="20" t="n">
        <v>0</v>
      </c>
      <c r="N346" s="20">
        <f>K346*0.08+L346*0.08</f>
        <v/>
      </c>
      <c r="O346" s="20">
        <f>-(K346*0.025+L346*0.025)</f>
        <v/>
      </c>
      <c r="P346" s="20">
        <f>32</f>
        <v/>
      </c>
      <c r="Q346" s="20">
        <f>J346+L346+N346+O346-P346-M346</f>
        <v/>
      </c>
    </row>
    <row r="347">
      <c r="A347" s="19" t="inlineStr">
        <is>
          <t>5.29-6.4</t>
        </is>
      </c>
      <c r="B347" s="19" t="inlineStr">
        <is>
          <t>PO-128-03334001342073646</t>
        </is>
      </c>
      <c r="C347" s="19" t="inlineStr">
        <is>
          <t>Shipped</t>
        </is>
      </c>
      <c r="D347" s="19" t="inlineStr">
        <is>
          <t>128-03334022313593646</t>
        </is>
      </c>
      <c r="E347" s="19" t="inlineStr">
        <is>
          <t>Shipped</t>
        </is>
      </c>
      <c r="F347" s="19" t="inlineStr">
        <is>
          <t>BS-01</t>
        </is>
      </c>
      <c r="G34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7" s="19" t="inlineStr">
        <is>
          <t>BS-01</t>
        </is>
      </c>
      <c r="I347" s="19" t="n">
        <v>1</v>
      </c>
      <c r="J347" s="20" t="n">
        <v>219</v>
      </c>
      <c r="K347" s="20" t="n">
        <v>257.6</v>
      </c>
      <c r="L347" s="20" t="n">
        <v>25.86</v>
      </c>
      <c r="M347" s="20" t="n">
        <v>0</v>
      </c>
      <c r="N347" s="20">
        <f>K347*0.08+L347*0.08</f>
        <v/>
      </c>
      <c r="O347" s="20">
        <f>-(K347*0.025+L347*0.025)</f>
        <v/>
      </c>
      <c r="P347" s="20">
        <f>32</f>
        <v/>
      </c>
      <c r="Q347" s="20">
        <f>J347+L347+N347+O347-P347-M347</f>
        <v/>
      </c>
    </row>
    <row r="348">
      <c r="A348" s="19" t="inlineStr">
        <is>
          <t>5.29-6.4</t>
        </is>
      </c>
      <c r="B348" s="19" t="inlineStr">
        <is>
          <t>PO-128-03064477947511223</t>
        </is>
      </c>
      <c r="C348" s="19" t="inlineStr">
        <is>
          <t>Shipped</t>
        </is>
      </c>
      <c r="D348" s="19" t="inlineStr">
        <is>
          <t>128-03064498919031223</t>
        </is>
      </c>
      <c r="E348" s="19" t="inlineStr">
        <is>
          <t>Shipped</t>
        </is>
      </c>
      <c r="F348" s="19" t="inlineStr">
        <is>
          <t>BS-01</t>
        </is>
      </c>
      <c r="G34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8" s="19" t="inlineStr">
        <is>
          <t>BS-01</t>
        </is>
      </c>
      <c r="I348" s="19" t="n">
        <v>1</v>
      </c>
      <c r="J348" s="20" t="n">
        <v>219</v>
      </c>
      <c r="K348" s="20" t="n">
        <v>257.6</v>
      </c>
      <c r="L348" s="20" t="n">
        <v>25.86</v>
      </c>
      <c r="M348" s="20" t="n">
        <v>0</v>
      </c>
      <c r="N348" s="20">
        <f>K348*0.08+L348*0.08</f>
        <v/>
      </c>
      <c r="O348" s="20">
        <f>-(K348*0.025+L348*0.025)</f>
        <v/>
      </c>
      <c r="P348" s="20">
        <f>32</f>
        <v/>
      </c>
      <c r="Q348" s="20">
        <f>J348+L348+N348+O348-P348-M348</f>
        <v/>
      </c>
    </row>
    <row r="349">
      <c r="A349" s="19" t="inlineStr">
        <is>
          <t>5.29-6.4</t>
        </is>
      </c>
      <c r="B349" s="19" t="inlineStr">
        <is>
          <t>PO-128-18949684634231194</t>
        </is>
      </c>
      <c r="C349" s="19" t="inlineStr">
        <is>
          <t>Shipped</t>
        </is>
      </c>
      <c r="D349" s="19" t="inlineStr">
        <is>
          <t>128-18949642691191194</t>
        </is>
      </c>
      <c r="E349" s="19" t="inlineStr">
        <is>
          <t>Shipped</t>
        </is>
      </c>
      <c r="F349" s="19" t="inlineStr">
        <is>
          <t>BS-01</t>
        </is>
      </c>
      <c r="G34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9" s="19" t="inlineStr">
        <is>
          <t>BS-01</t>
        </is>
      </c>
      <c r="I349" s="19" t="n">
        <v>4</v>
      </c>
      <c r="J349" s="20" t="n">
        <v>876</v>
      </c>
      <c r="K349" s="20" t="n">
        <v>1030.4</v>
      </c>
      <c r="L349" s="20" t="n">
        <v>0</v>
      </c>
      <c r="M349" s="20" t="n">
        <v>0</v>
      </c>
      <c r="N349" s="20">
        <f>K349*0.08+L349*0.08</f>
        <v/>
      </c>
      <c r="O349" s="20">
        <f>-(K349*0.025+L349*0.025)</f>
        <v/>
      </c>
      <c r="P349" s="20">
        <f>32</f>
        <v/>
      </c>
      <c r="Q349" s="20">
        <f>J349+L349+N349+O349-P349-M349</f>
        <v/>
      </c>
    </row>
    <row r="350">
      <c r="A350" s="19" t="inlineStr">
        <is>
          <t>5.29-6.4</t>
        </is>
      </c>
      <c r="B350" s="19" t="inlineStr">
        <is>
          <t>PO-128-19186474650230806</t>
        </is>
      </c>
      <c r="C350" s="19" t="inlineStr">
        <is>
          <t>Shipped</t>
        </is>
      </c>
      <c r="D350" s="19" t="inlineStr">
        <is>
          <t>128-19186516593270806</t>
        </is>
      </c>
      <c r="E350" s="19" t="inlineStr">
        <is>
          <t>Shipped</t>
        </is>
      </c>
      <c r="F350" s="19" t="inlineStr">
        <is>
          <t>BS-09</t>
        </is>
      </c>
      <c r="G350" s="19" t="inlineStr">
        <is>
          <t>Altavoz de barra para PC con iluminación RGB, sonido de alta fidelidad y múltiples conexiones: Bluetooth, radio FM, USB, TF, AUX y TWS. Ideal para juegos, reuniones y cine en casa.</t>
        </is>
      </c>
      <c r="H350" s="19" t="inlineStr">
        <is>
          <t>NEGRO</t>
        </is>
      </c>
      <c r="I350" s="19" t="n">
        <v>1</v>
      </c>
      <c r="J350" s="20" t="n">
        <v>117.99</v>
      </c>
      <c r="K350" s="20" t="n">
        <v>146.36</v>
      </c>
      <c r="L350" s="20" t="n">
        <v>25.86</v>
      </c>
      <c r="M350" s="20" t="n">
        <v>0</v>
      </c>
      <c r="N350" s="20">
        <f>K350*0.08+L350*0.08</f>
        <v/>
      </c>
      <c r="O350" s="20">
        <f>-(K350*0.025+L350*0.025)</f>
        <v/>
      </c>
      <c r="P350" s="20">
        <f>32</f>
        <v/>
      </c>
      <c r="Q350" s="20">
        <f>J350+L350+N350+O350-P350-M350</f>
        <v/>
      </c>
    </row>
    <row r="351">
      <c r="A351" s="19" t="inlineStr">
        <is>
          <t>5.29-6.4</t>
        </is>
      </c>
      <c r="B351" s="19" t="inlineStr">
        <is>
          <t>PO-128-18727263212152457</t>
        </is>
      </c>
      <c r="C351" s="19" t="inlineStr">
        <is>
          <t>Shipped</t>
        </is>
      </c>
      <c r="D351" s="19" t="inlineStr">
        <is>
          <t>128-18727368069752457</t>
        </is>
      </c>
      <c r="E351" s="19" t="inlineStr">
        <is>
          <t>Shipped</t>
        </is>
      </c>
      <c r="F351" s="19" t="inlineStr">
        <is>
          <t>BS-01</t>
        </is>
      </c>
      <c r="G35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1" s="19" t="inlineStr">
        <is>
          <t>BS-01</t>
        </is>
      </c>
      <c r="I351" s="19" t="n">
        <v>1</v>
      </c>
      <c r="J351" s="20" t="n">
        <v>219</v>
      </c>
      <c r="K351" s="20" t="n">
        <v>257.6</v>
      </c>
      <c r="L351" s="20" t="n">
        <v>25.86</v>
      </c>
      <c r="M351" s="20" t="n">
        <v>0</v>
      </c>
      <c r="N351" s="20">
        <f>K351*0.08+L351*0.08</f>
        <v/>
      </c>
      <c r="O351" s="20">
        <f>-(K351*0.025+L351*0.025)</f>
        <v/>
      </c>
      <c r="P351" s="20">
        <f>32</f>
        <v/>
      </c>
      <c r="Q351" s="20">
        <f>J351+L351+N351+O351-P351-M351</f>
        <v/>
      </c>
    </row>
    <row r="352">
      <c r="A352" s="19" t="inlineStr">
        <is>
          <t>5.29-6.4</t>
        </is>
      </c>
      <c r="B352" s="19" t="inlineStr">
        <is>
          <t>PO-128-19089444024950491</t>
        </is>
      </c>
      <c r="C352" s="19" t="inlineStr">
        <is>
          <t>Shipped</t>
        </is>
      </c>
      <c r="D352" s="19" t="inlineStr">
        <is>
          <t>128-19089402081910491</t>
        </is>
      </c>
      <c r="E352" s="19" t="inlineStr">
        <is>
          <t>Shipped</t>
        </is>
      </c>
      <c r="F352" s="19" t="inlineStr">
        <is>
          <t>BS-01</t>
        </is>
      </c>
      <c r="G35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2" s="19" t="inlineStr">
        <is>
          <t>BS-01</t>
        </is>
      </c>
      <c r="I352" s="19" t="n">
        <v>1</v>
      </c>
      <c r="J352" s="20" t="n">
        <v>219</v>
      </c>
      <c r="K352" s="20" t="n">
        <v>257.6</v>
      </c>
      <c r="L352" s="20" t="n">
        <v>25.86</v>
      </c>
      <c r="M352" s="20" t="n">
        <v>0</v>
      </c>
      <c r="N352" s="20">
        <f>K352*0.08+L352*0.08</f>
        <v/>
      </c>
      <c r="O352" s="20">
        <f>-(K352*0.025+L352*0.025)</f>
        <v/>
      </c>
      <c r="P352" s="20">
        <f>32</f>
        <v/>
      </c>
      <c r="Q352" s="20">
        <f>J352+L352+N352+O352-P352-M352</f>
        <v/>
      </c>
    </row>
    <row r="353">
      <c r="A353" s="19" t="inlineStr">
        <is>
          <t>5.29-6.4</t>
        </is>
      </c>
      <c r="B353" s="19" t="inlineStr">
        <is>
          <t>PO-128-18959481436791265</t>
        </is>
      </c>
      <c r="C353" s="19" t="inlineStr">
        <is>
          <t>Shipped</t>
        </is>
      </c>
      <c r="D353" s="19" t="inlineStr">
        <is>
          <t>128-18959491922551265</t>
        </is>
      </c>
      <c r="E353" s="19" t="inlineStr">
        <is>
          <t>Shipped</t>
        </is>
      </c>
      <c r="F353" s="19" t="inlineStr">
        <is>
          <t>BS-07V</t>
        </is>
      </c>
      <c r="G353" s="19" t="inlineStr">
        <is>
          <t>Altavoz Inalámbrico Portátil con Diseño Retro, Bajos Optimizados y Sonido 3D Envolvente,Compatible con TF/FM/AUX, Conexión BT TWS. Ideal para Home Theater, Fiestas y Regalos​</t>
        </is>
      </c>
      <c r="H353" s="19" t="inlineStr">
        <is>
          <t>BS-07V</t>
        </is>
      </c>
      <c r="I353" s="19" t="n">
        <v>1</v>
      </c>
      <c r="J353" s="20" t="n">
        <v>133</v>
      </c>
      <c r="K353" s="20" t="n">
        <v>151.68</v>
      </c>
      <c r="L353" s="20" t="n">
        <v>25.86</v>
      </c>
      <c r="M353" s="20" t="n">
        <v>0</v>
      </c>
      <c r="N353" s="20">
        <f>K353*0.08+L353*0.08</f>
        <v/>
      </c>
      <c r="O353" s="20">
        <f>-(K353*0.025+L353*0.025)</f>
        <v/>
      </c>
      <c r="P353" s="20">
        <f>32</f>
        <v/>
      </c>
      <c r="Q353" s="20">
        <f>J353+L353+N353+O353-P353-M353</f>
        <v/>
      </c>
    </row>
    <row r="354">
      <c r="A354" s="19" t="inlineStr">
        <is>
          <t>5.29-6.4</t>
        </is>
      </c>
      <c r="B354" s="19" t="inlineStr">
        <is>
          <t>PO-128-18871933932152811</t>
        </is>
      </c>
      <c r="C354" s="19" t="inlineStr">
        <is>
          <t>Shipped</t>
        </is>
      </c>
      <c r="D354" s="19" t="inlineStr">
        <is>
          <t>128-18871975875192811</t>
        </is>
      </c>
      <c r="E354" s="19" t="inlineStr">
        <is>
          <t>Shipped</t>
        </is>
      </c>
      <c r="F354" s="19" t="inlineStr">
        <is>
          <t>BS-09</t>
        </is>
      </c>
      <c r="G354" s="19" t="inlineStr">
        <is>
          <t>Altavoz de barra para PC con iluminación RGB, sonido de alta fidelidad y múltiples conexiones: Bluetooth, radio FM, USB, TF, AUX y TWS. Ideal para juegos, reuniones y cine en casa.</t>
        </is>
      </c>
      <c r="H354" s="19" t="inlineStr">
        <is>
          <t>NEGRO</t>
        </is>
      </c>
      <c r="I354" s="19" t="n">
        <v>1</v>
      </c>
      <c r="J354" s="20" t="n">
        <v>117.99</v>
      </c>
      <c r="K354" s="20" t="n">
        <v>146.36</v>
      </c>
      <c r="L354" s="20" t="n">
        <v>25.86</v>
      </c>
      <c r="M354" s="20" t="n">
        <v>0</v>
      </c>
      <c r="N354" s="20">
        <f>K354*0.08+L354*0.08</f>
        <v/>
      </c>
      <c r="O354" s="20">
        <f>-(K354*0.025+L354*0.025)</f>
        <v/>
      </c>
      <c r="P354" s="20">
        <f>32</f>
        <v/>
      </c>
      <c r="Q354" s="20">
        <f>J354+L354+N354+O354-P354-M354</f>
        <v/>
      </c>
    </row>
    <row r="355">
      <c r="A355" s="19" t="inlineStr">
        <is>
          <t>5.29-6.4</t>
        </is>
      </c>
      <c r="B355" s="19" t="inlineStr">
        <is>
          <t>PO-128-19124504433270216</t>
        </is>
      </c>
      <c r="C355" s="19" t="inlineStr">
        <is>
          <t>Shipped</t>
        </is>
      </c>
      <c r="D355" s="19" t="inlineStr">
        <is>
          <t>128-19124462490230216</t>
        </is>
      </c>
      <c r="E355" s="19" t="inlineStr">
        <is>
          <t>Shipped</t>
        </is>
      </c>
      <c r="F355" s="19" t="inlineStr">
        <is>
          <t>BS-01</t>
        </is>
      </c>
      <c r="G35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5" s="19" t="inlineStr">
        <is>
          <t>BS-01</t>
        </is>
      </c>
      <c r="I355" s="19" t="n">
        <v>1</v>
      </c>
      <c r="J355" s="20" t="n">
        <v>219</v>
      </c>
      <c r="K355" s="20" t="n">
        <v>257.6</v>
      </c>
      <c r="L355" s="20" t="n">
        <v>25.86</v>
      </c>
      <c r="M355" s="20" t="n">
        <v>0</v>
      </c>
      <c r="N355" s="20">
        <f>K355*0.08+L355*0.08</f>
        <v/>
      </c>
      <c r="O355" s="20">
        <f>-(K355*0.025+L355*0.025)</f>
        <v/>
      </c>
      <c r="P355" s="20">
        <f>32</f>
        <v/>
      </c>
      <c r="Q355" s="20">
        <f>J355+L355+N355+O355-P355-M355</f>
        <v/>
      </c>
    </row>
    <row r="356">
      <c r="A356" s="19" t="inlineStr">
        <is>
          <t>5.29-6.4</t>
        </is>
      </c>
      <c r="B356" s="19" t="inlineStr">
        <is>
          <t>PO-128-19125932815990209</t>
        </is>
      </c>
      <c r="C356" s="19" t="inlineStr">
        <is>
          <t>Shipped</t>
        </is>
      </c>
      <c r="D356" s="19" t="inlineStr">
        <is>
          <t>128-19125911844470209</t>
        </is>
      </c>
      <c r="E356" s="19" t="inlineStr">
        <is>
          <t>Shipped</t>
        </is>
      </c>
      <c r="F356" s="19" t="inlineStr">
        <is>
          <t>BS-01</t>
        </is>
      </c>
      <c r="G35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6" s="19" t="inlineStr">
        <is>
          <t>BS-01</t>
        </is>
      </c>
      <c r="I356" s="19" t="n">
        <v>1</v>
      </c>
      <c r="J356" s="20" t="n">
        <v>219</v>
      </c>
      <c r="K356" s="20" t="n">
        <v>246.1</v>
      </c>
      <c r="L356" s="20" t="n">
        <v>25.86</v>
      </c>
      <c r="M356" s="20" t="n">
        <v>0</v>
      </c>
      <c r="N356" s="20">
        <f>K356*0.08+L356*0.08</f>
        <v/>
      </c>
      <c r="O356" s="20">
        <f>-(K356*0.025+L356*0.025)</f>
        <v/>
      </c>
      <c r="P356" s="20">
        <f>32</f>
        <v/>
      </c>
      <c r="Q356" s="20">
        <f>J356+L356+N356+O356-P356-M356</f>
        <v/>
      </c>
    </row>
    <row r="357">
      <c r="A357" s="19" t="inlineStr">
        <is>
          <t>5.29-6.4</t>
        </is>
      </c>
      <c r="B357" s="19" t="inlineStr">
        <is>
          <t>PO-128-18901394586231419</t>
        </is>
      </c>
      <c r="C357" s="19" t="inlineStr">
        <is>
          <t>Shipped</t>
        </is>
      </c>
      <c r="D357" s="19" t="inlineStr">
        <is>
          <t>128-18901530901111419</t>
        </is>
      </c>
      <c r="E357" s="19" t="inlineStr">
        <is>
          <t>Shipped</t>
        </is>
      </c>
      <c r="F357" s="19" t="inlineStr">
        <is>
          <t>BS-01</t>
        </is>
      </c>
      <c r="G35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7" s="19" t="inlineStr">
        <is>
          <t>BS-01</t>
        </is>
      </c>
      <c r="I357" s="19" t="n">
        <v>1</v>
      </c>
      <c r="J357" s="20" t="n">
        <v>219</v>
      </c>
      <c r="K357" s="20" t="n">
        <v>257.6</v>
      </c>
      <c r="L357" s="20" t="n">
        <v>25.86</v>
      </c>
      <c r="M357" s="20" t="n">
        <v>0</v>
      </c>
      <c r="N357" s="20">
        <f>K357*0.08+L357*0.08</f>
        <v/>
      </c>
      <c r="O357" s="20">
        <f>-(K357*0.025+L357*0.025)</f>
        <v/>
      </c>
      <c r="P357" s="20">
        <f>32</f>
        <v/>
      </c>
      <c r="Q357" s="20">
        <f>J357+L357+N357+O357-P357-M357</f>
        <v/>
      </c>
    </row>
    <row r="358">
      <c r="A358" s="19" t="inlineStr">
        <is>
          <t>5.29-6.4</t>
        </is>
      </c>
      <c r="B358" s="19" t="inlineStr">
        <is>
          <t>PO-128-19123619297910223</t>
        </is>
      </c>
      <c r="C358" s="19" t="inlineStr">
        <is>
          <t>Shipped</t>
        </is>
      </c>
      <c r="D358" s="19" t="inlineStr">
        <is>
          <t>128-19123640269430223</t>
        </is>
      </c>
      <c r="E358" s="19" t="inlineStr">
        <is>
          <t>Shipped</t>
        </is>
      </c>
      <c r="F358" s="19" t="inlineStr">
        <is>
          <t>BS-01</t>
        </is>
      </c>
      <c r="G35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8" s="19" t="inlineStr">
        <is>
          <t>BS-01</t>
        </is>
      </c>
      <c r="I358" s="19" t="n">
        <v>1</v>
      </c>
      <c r="J358" s="20" t="n">
        <v>219</v>
      </c>
      <c r="K358" s="20" t="n">
        <v>206.08</v>
      </c>
      <c r="L358" s="20" t="n">
        <v>25.86</v>
      </c>
      <c r="M358" s="20" t="n">
        <v>0</v>
      </c>
      <c r="N358" s="20">
        <f>K358*0.08+L358*0.08</f>
        <v/>
      </c>
      <c r="O358" s="20">
        <f>-(K358*0.025+L358*0.025)</f>
        <v/>
      </c>
      <c r="P358" s="20">
        <f>32</f>
        <v/>
      </c>
      <c r="Q358" s="20">
        <f>J358+L358+N358+O358-P358-M358</f>
        <v/>
      </c>
    </row>
    <row r="359">
      <c r="A359" s="19" t="inlineStr">
        <is>
          <t>5.29-6.4</t>
        </is>
      </c>
      <c r="B359" s="19" t="inlineStr">
        <is>
          <t>PO-128-19129388175990250</t>
        </is>
      </c>
      <c r="C359" s="19" t="inlineStr">
        <is>
          <t>Shipped</t>
        </is>
      </c>
      <c r="D359" s="19" t="inlineStr">
        <is>
          <t>128-19129414390390250</t>
        </is>
      </c>
      <c r="E359" s="19" t="inlineStr">
        <is>
          <t>Shipped</t>
        </is>
      </c>
      <c r="F359" s="19" t="inlineStr">
        <is>
          <t>BS-01</t>
        </is>
      </c>
      <c r="G35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9" s="19" t="inlineStr">
        <is>
          <t>BS-01</t>
        </is>
      </c>
      <c r="I359" s="19" t="n">
        <v>1</v>
      </c>
      <c r="J359" s="20" t="n">
        <v>219</v>
      </c>
      <c r="K359" s="20" t="n">
        <v>257.6</v>
      </c>
      <c r="L359" s="20" t="n">
        <v>25.86</v>
      </c>
      <c r="M359" s="20" t="n">
        <v>0</v>
      </c>
      <c r="N359" s="20">
        <f>K359*0.08+L359*0.08</f>
        <v/>
      </c>
      <c r="O359" s="20">
        <f>-(K359*0.025+L359*0.025)</f>
        <v/>
      </c>
      <c r="P359" s="20">
        <f>32</f>
        <v/>
      </c>
      <c r="Q359" s="20">
        <f>J359+L359+N359+O359-P359-M359</f>
        <v/>
      </c>
    </row>
    <row r="360">
      <c r="A360" s="19" t="inlineStr">
        <is>
          <t>5.29-6.4</t>
        </is>
      </c>
      <c r="B360" s="19" t="inlineStr">
        <is>
          <t>PO-128-19038397717111755</t>
        </is>
      </c>
      <c r="C360" s="19" t="inlineStr">
        <is>
          <t>Shipped</t>
        </is>
      </c>
      <c r="D360" s="19" t="inlineStr">
        <is>
          <t>128-19038418688631755</t>
        </is>
      </c>
      <c r="E360" s="19" t="inlineStr">
        <is>
          <t>Shipped</t>
        </is>
      </c>
      <c r="F360" s="19" t="inlineStr">
        <is>
          <t>BS-01</t>
        </is>
      </c>
      <c r="G36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0" s="19" t="inlineStr">
        <is>
          <t>BS-01</t>
        </is>
      </c>
      <c r="I360" s="19" t="n">
        <v>1</v>
      </c>
      <c r="J360" s="20" t="n">
        <v>219</v>
      </c>
      <c r="K360" s="20" t="n">
        <v>257.6</v>
      </c>
      <c r="L360" s="20" t="n">
        <v>25.86</v>
      </c>
      <c r="M360" s="20" t="n">
        <v>0</v>
      </c>
      <c r="N360" s="20">
        <f>K360*0.08+L360*0.08</f>
        <v/>
      </c>
      <c r="O360" s="20">
        <f>-(K360*0.025+L360*0.025)</f>
        <v/>
      </c>
      <c r="P360" s="20">
        <f>32</f>
        <v/>
      </c>
      <c r="Q360" s="20">
        <f>J360+L360+N360+O360-P360-M360</f>
        <v/>
      </c>
    </row>
    <row r="361">
      <c r="A361" s="19" t="inlineStr">
        <is>
          <t>5.29-6.4</t>
        </is>
      </c>
      <c r="B361" s="19" t="inlineStr">
        <is>
          <t>PO-128-07901311091832665</t>
        </is>
      </c>
      <c r="C361" s="19" t="inlineStr">
        <is>
          <t>Shipped</t>
        </is>
      </c>
      <c r="D361" s="19" t="inlineStr">
        <is>
          <t>128-07901353034872665</t>
        </is>
      </c>
      <c r="E361" s="19" t="inlineStr">
        <is>
          <t>Shipped</t>
        </is>
      </c>
      <c r="F361" s="19" t="inlineStr">
        <is>
          <t>BS-01</t>
        </is>
      </c>
      <c r="G36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1" s="19" t="inlineStr">
        <is>
          <t>BS-01</t>
        </is>
      </c>
      <c r="I361" s="19" t="n">
        <v>1</v>
      </c>
      <c r="J361" s="20" t="n">
        <v>219</v>
      </c>
      <c r="K361" s="20" t="n">
        <v>205.88</v>
      </c>
      <c r="L361" s="20" t="n">
        <v>25.86</v>
      </c>
      <c r="M361" s="20" t="n">
        <v>0</v>
      </c>
      <c r="N361" s="20">
        <f>K361*0.08+L361*0.08</f>
        <v/>
      </c>
      <c r="O361" s="20">
        <f>-(K361*0.025+L361*0.025)</f>
        <v/>
      </c>
      <c r="P361" s="20">
        <f>32</f>
        <v/>
      </c>
      <c r="Q361" s="20">
        <f>J361+L361+N361+O361-P361-M361</f>
        <v/>
      </c>
    </row>
    <row r="362">
      <c r="A362" s="19" t="inlineStr">
        <is>
          <t>5.29-6.4</t>
        </is>
      </c>
      <c r="B362" s="19" t="inlineStr">
        <is>
          <t>PO-128-07889903672952605</t>
        </is>
      </c>
      <c r="C362" s="19" t="inlineStr">
        <is>
          <t>Shipped</t>
        </is>
      </c>
      <c r="D362" s="19" t="inlineStr">
        <is>
          <t>128-07889882701432605</t>
        </is>
      </c>
      <c r="E362" s="19" t="inlineStr">
        <is>
          <t>Shipped</t>
        </is>
      </c>
      <c r="F362" s="19" t="inlineStr">
        <is>
          <t>BS-01</t>
        </is>
      </c>
      <c r="G36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2" s="19" t="inlineStr">
        <is>
          <t>BS-01</t>
        </is>
      </c>
      <c r="I362" s="19" t="n">
        <v>1</v>
      </c>
      <c r="J362" s="20" t="n">
        <v>219</v>
      </c>
      <c r="K362" s="20" t="n">
        <v>257.6</v>
      </c>
      <c r="L362" s="20" t="n">
        <v>25.86</v>
      </c>
      <c r="M362" s="20" t="n">
        <v>0</v>
      </c>
      <c r="N362" s="20">
        <f>K362*0.08+L362*0.08</f>
        <v/>
      </c>
      <c r="O362" s="20">
        <f>-(K362*0.025+L362*0.025)</f>
        <v/>
      </c>
      <c r="P362" s="20">
        <f>32</f>
        <v/>
      </c>
      <c r="Q362" s="20">
        <f>J362+L362+N362+O362-P362-M362</f>
        <v/>
      </c>
    </row>
    <row r="363">
      <c r="A363" s="19" t="inlineStr">
        <is>
          <t>5.29-6.4</t>
        </is>
      </c>
      <c r="B363" s="19" t="inlineStr">
        <is>
          <t>PO-128-07598302917753447</t>
        </is>
      </c>
      <c r="C363" s="19" t="inlineStr">
        <is>
          <t>Shipped</t>
        </is>
      </c>
      <c r="D363" s="19" t="inlineStr">
        <is>
          <t>128-07598281946233447</t>
        </is>
      </c>
      <c r="E363" s="19" t="inlineStr">
        <is>
          <t>Shipped</t>
        </is>
      </c>
      <c r="F363" s="19" t="inlineStr">
        <is>
          <t>BS-09</t>
        </is>
      </c>
      <c r="G363" s="19" t="inlineStr">
        <is>
          <t>Altavoz de barra para PC con iluminación RGB, sonido de alta fidelidad y múltiples conexiones: Bluetooth, radio FM, USB, TF, AUX y TWS. Ideal para juegos, reuniones y cine en casa.</t>
        </is>
      </c>
      <c r="H363" s="19" t="inlineStr">
        <is>
          <t>NEGRO</t>
        </is>
      </c>
      <c r="I363" s="19" t="n">
        <v>2</v>
      </c>
      <c r="J363" s="20" t="n">
        <v>235.98</v>
      </c>
      <c r="K363" s="20" t="n">
        <v>277.16</v>
      </c>
      <c r="L363" s="20" t="n">
        <v>0</v>
      </c>
      <c r="M363" s="20" t="n">
        <v>0</v>
      </c>
      <c r="N363" s="20">
        <f>K363*0.08+L363*0.08</f>
        <v/>
      </c>
      <c r="O363" s="20">
        <f>-(K363*0.025+L363*0.025)</f>
        <v/>
      </c>
      <c r="P363" s="20">
        <f>32</f>
        <v/>
      </c>
      <c r="Q363" s="20">
        <f>J363+L363+N363+O363-P363-M363</f>
        <v/>
      </c>
    </row>
    <row r="364">
      <c r="A364" s="19" t="inlineStr">
        <is>
          <t>5.29-6.4</t>
        </is>
      </c>
      <c r="B364" s="19" t="inlineStr">
        <is>
          <t>PO-128-07862003190392707</t>
        </is>
      </c>
      <c r="C364" s="19" t="inlineStr">
        <is>
          <t>Shipped</t>
        </is>
      </c>
      <c r="D364" s="19" t="inlineStr">
        <is>
          <t>128-07862024161912707</t>
        </is>
      </c>
      <c r="E364" s="19" t="inlineStr">
        <is>
          <t>Shipped</t>
        </is>
      </c>
      <c r="F364" s="19" t="inlineStr">
        <is>
          <t>BS-01</t>
        </is>
      </c>
      <c r="G36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4" s="19" t="inlineStr">
        <is>
          <t>BS-01</t>
        </is>
      </c>
      <c r="I364" s="19" t="n">
        <v>1</v>
      </c>
      <c r="J364" s="20" t="n">
        <v>219</v>
      </c>
      <c r="K364" s="20" t="n">
        <v>257.6</v>
      </c>
      <c r="L364" s="20" t="n">
        <v>25.86</v>
      </c>
      <c r="M364" s="20" t="n">
        <v>0</v>
      </c>
      <c r="N364" s="20">
        <f>K364*0.08+L364*0.08</f>
        <v/>
      </c>
      <c r="O364" s="20">
        <f>-(K364*0.025+L364*0.025)</f>
        <v/>
      </c>
      <c r="P364" s="20">
        <f>32</f>
        <v/>
      </c>
      <c r="Q364" s="20">
        <f>J364+L364+N364+O364-P364-M364</f>
        <v/>
      </c>
    </row>
    <row r="365">
      <c r="A365" s="19" t="inlineStr">
        <is>
          <t>5.29-6.4</t>
        </is>
      </c>
      <c r="B365" s="19" t="inlineStr">
        <is>
          <t>PO-128-08085709722230476</t>
        </is>
      </c>
      <c r="C365" s="19" t="inlineStr">
        <is>
          <t>Shipped</t>
        </is>
      </c>
      <c r="D365" s="19" t="inlineStr">
        <is>
          <t>128-08085699236470476</t>
        </is>
      </c>
      <c r="E365" s="19" t="inlineStr">
        <is>
          <t>Shipped</t>
        </is>
      </c>
      <c r="F365" s="19" t="inlineStr">
        <is>
          <t>BS-01</t>
        </is>
      </c>
      <c r="G36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5" s="19" t="inlineStr">
        <is>
          <t>BS-01</t>
        </is>
      </c>
      <c r="I365" s="19" t="n">
        <v>1</v>
      </c>
      <c r="J365" s="20" t="n">
        <v>219</v>
      </c>
      <c r="K365" s="20" t="n">
        <v>257.6</v>
      </c>
      <c r="L365" s="20" t="n">
        <v>25.86</v>
      </c>
      <c r="M365" s="20" t="n">
        <v>0</v>
      </c>
      <c r="N365" s="20">
        <f>K365*0.08+L365*0.08</f>
        <v/>
      </c>
      <c r="O365" s="20">
        <f>-(K365*0.025+L365*0.025)</f>
        <v/>
      </c>
      <c r="P365" s="20">
        <f>32</f>
        <v/>
      </c>
      <c r="Q365" s="20">
        <f>J365+L365+N365+O365-P365-M365</f>
        <v/>
      </c>
    </row>
    <row r="366">
      <c r="A366" s="19" t="inlineStr">
        <is>
          <t>5.29-6.4</t>
        </is>
      </c>
      <c r="B366" s="19" t="inlineStr">
        <is>
          <t>PO-128-08096260311670287</t>
        </is>
      </c>
      <c r="C366" s="19" t="inlineStr">
        <is>
          <t>Shipped</t>
        </is>
      </c>
      <c r="D366" s="19" t="inlineStr">
        <is>
          <t>128-08096302254710287</t>
        </is>
      </c>
      <c r="E366" s="19" t="inlineStr">
        <is>
          <t>Shipped</t>
        </is>
      </c>
      <c r="F366" s="19" t="inlineStr">
        <is>
          <t>BS-01</t>
        </is>
      </c>
      <c r="G36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6" s="19" t="inlineStr">
        <is>
          <t>BS-01</t>
        </is>
      </c>
      <c r="I366" s="19" t="n">
        <v>1</v>
      </c>
      <c r="J366" s="20" t="n">
        <v>219</v>
      </c>
      <c r="K366" s="20" t="n">
        <v>257.6</v>
      </c>
      <c r="L366" s="20" t="n">
        <v>25.86</v>
      </c>
      <c r="M366" s="20" t="n">
        <v>0</v>
      </c>
      <c r="N366" s="20">
        <f>K366*0.08+L366*0.08</f>
        <v/>
      </c>
      <c r="O366" s="20">
        <f>-(K366*0.025+L366*0.025)</f>
        <v/>
      </c>
      <c r="P366" s="20">
        <f>32</f>
        <v/>
      </c>
      <c r="Q366" s="20">
        <f>J366+L366+N366+O366-P366-M366</f>
        <v/>
      </c>
    </row>
    <row r="367">
      <c r="A367" s="19" t="inlineStr">
        <is>
          <t>5.29-6.4</t>
        </is>
      </c>
      <c r="B367" s="19" t="inlineStr">
        <is>
          <t>PO-128-08054928497271557</t>
        </is>
      </c>
      <c r="C367" s="19" t="inlineStr">
        <is>
          <t>Shipped</t>
        </is>
      </c>
      <c r="D367" s="19" t="inlineStr">
        <is>
          <t>128-08054923254391557</t>
        </is>
      </c>
      <c r="E367" s="19" t="inlineStr">
        <is>
          <t>Shipped</t>
        </is>
      </c>
      <c r="F367" s="19" t="inlineStr">
        <is>
          <t>BS-01</t>
        </is>
      </c>
      <c r="G36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7" s="19" t="inlineStr">
        <is>
          <t>BS-01</t>
        </is>
      </c>
      <c r="I367" s="19" t="n">
        <v>1</v>
      </c>
      <c r="J367" s="20" t="n">
        <v>219</v>
      </c>
      <c r="K367" s="20" t="n">
        <v>231.84</v>
      </c>
      <c r="L367" s="20" t="n">
        <v>25.86</v>
      </c>
      <c r="M367" s="20" t="n">
        <v>0</v>
      </c>
      <c r="N367" s="20">
        <f>K367*0.08+L367*0.08</f>
        <v/>
      </c>
      <c r="O367" s="20">
        <f>-(K367*0.025+L367*0.025)</f>
        <v/>
      </c>
      <c r="P367" s="20">
        <f>32</f>
        <v/>
      </c>
      <c r="Q367" s="20">
        <f>J367+L367+N367+O367-P367-M367</f>
        <v/>
      </c>
    </row>
    <row r="368">
      <c r="A368" s="19" t="inlineStr">
        <is>
          <t>5.29-6.4</t>
        </is>
      </c>
      <c r="B368" s="19" t="inlineStr">
        <is>
          <t>PO-128-13109381059193236</t>
        </is>
      </c>
      <c r="C368" s="19" t="inlineStr">
        <is>
          <t>Shipped</t>
        </is>
      </c>
      <c r="D368" s="19" t="inlineStr">
        <is>
          <t>128-13109548769913236</t>
        </is>
      </c>
      <c r="E368" s="19" t="inlineStr">
        <is>
          <t>Shipped</t>
        </is>
      </c>
      <c r="F368" s="19" t="inlineStr">
        <is>
          <t>BS-09</t>
        </is>
      </c>
      <c r="G368" s="19" t="inlineStr">
        <is>
          <t>Altavoz de barra para PC con iluminación RGB, sonido de alta fidelidad y múltiples conexiones: Bluetooth, radio FM, USB, TF, AUX y TWS. Ideal para juegos, reuniones y cine en casa.</t>
        </is>
      </c>
      <c r="H368" s="19" t="inlineStr">
        <is>
          <t>NEGRO</t>
        </is>
      </c>
      <c r="I368" s="19" t="n">
        <v>1</v>
      </c>
      <c r="J368" s="20" t="n">
        <v>117.99</v>
      </c>
      <c r="K368" s="20" t="n">
        <v>146.36</v>
      </c>
      <c r="L368" s="20" t="n">
        <v>25.86</v>
      </c>
      <c r="M368" s="20" t="n">
        <v>0</v>
      </c>
      <c r="N368" s="20">
        <f>K368*0.08+L368*0.08</f>
        <v/>
      </c>
      <c r="O368" s="20">
        <f>-(K368*0.025+L368*0.025)</f>
        <v/>
      </c>
      <c r="P368" s="20">
        <f>32</f>
        <v/>
      </c>
      <c r="Q368" s="20">
        <f>J368+L368+N368+O368-P368-M368</f>
        <v/>
      </c>
    </row>
    <row r="369">
      <c r="A369" s="19" t="inlineStr">
        <is>
          <t>5.29-6.4</t>
        </is>
      </c>
      <c r="B369" s="19" t="inlineStr">
        <is>
          <t>PO-128-13572336456310415</t>
        </is>
      </c>
      <c r="C369" s="19" t="inlineStr">
        <is>
          <t>Shipped</t>
        </is>
      </c>
      <c r="D369" s="19" t="inlineStr">
        <is>
          <t>128-13572315484790415</t>
        </is>
      </c>
      <c r="E369" s="19" t="inlineStr">
        <is>
          <t>Shipped</t>
        </is>
      </c>
      <c r="F369" s="19" t="inlineStr">
        <is>
          <t>BS-09</t>
        </is>
      </c>
      <c r="G369" s="19" t="inlineStr">
        <is>
          <t>Altavoz de barra para PC con iluminación RGB, sonido de alta fidelidad y múltiples conexiones: Bluetooth, radio FM, USB, TF, AUX y TWS. Ideal para juegos, reuniones y cine en casa.</t>
        </is>
      </c>
      <c r="H369" s="19" t="inlineStr">
        <is>
          <t>NEGRO</t>
        </is>
      </c>
      <c r="I369" s="19" t="n">
        <v>1</v>
      </c>
      <c r="J369" s="20" t="n">
        <v>117.99</v>
      </c>
      <c r="K369" s="20" t="n">
        <v>146.36</v>
      </c>
      <c r="L369" s="20" t="n">
        <v>25.86</v>
      </c>
      <c r="M369" s="20" t="n">
        <v>0</v>
      </c>
      <c r="N369" s="20">
        <f>K369*0.08+L369*0.08</f>
        <v/>
      </c>
      <c r="O369" s="20">
        <f>-(K369*0.025+L369*0.025)</f>
        <v/>
      </c>
      <c r="P369" s="20">
        <f>32</f>
        <v/>
      </c>
      <c r="Q369" s="20">
        <f>J369+L369+N369+O369-P369-M369</f>
        <v/>
      </c>
    </row>
    <row r="370">
      <c r="A370" s="19" t="inlineStr">
        <is>
          <t>5.29-6.4</t>
        </is>
      </c>
      <c r="B370" s="19" t="inlineStr">
        <is>
          <t>PO-128-13645974943350038</t>
        </is>
      </c>
      <c r="C370" s="19" t="inlineStr">
        <is>
          <t>Shipped</t>
        </is>
      </c>
      <c r="D370" s="19" t="inlineStr">
        <is>
          <t>128-13646027372150038</t>
        </is>
      </c>
      <c r="E370" s="19" t="inlineStr">
        <is>
          <t>Shipped</t>
        </is>
      </c>
      <c r="F370" s="19" t="inlineStr">
        <is>
          <t>BS-09</t>
        </is>
      </c>
      <c r="G370" s="19" t="inlineStr">
        <is>
          <t>Altavoz de barra para PC con iluminación RGB, sonido de alta fidelidad y múltiples conexiones: Bluetooth, radio FM, USB, TF, AUX y TWS. Ideal para juegos, reuniones y cine en casa.</t>
        </is>
      </c>
      <c r="H370" s="19" t="inlineStr">
        <is>
          <t>NEGRO</t>
        </is>
      </c>
      <c r="I370" s="19" t="n">
        <v>1</v>
      </c>
      <c r="J370" s="20" t="n">
        <v>116</v>
      </c>
      <c r="K370" s="20" t="n">
        <v>144.38</v>
      </c>
      <c r="L370" s="20" t="n">
        <v>25.86</v>
      </c>
      <c r="M370" s="20" t="n">
        <v>0</v>
      </c>
      <c r="N370" s="20">
        <f>K370*0.08+L370*0.08</f>
        <v/>
      </c>
      <c r="O370" s="20">
        <f>-(K370*0.025+L370*0.025)</f>
        <v/>
      </c>
      <c r="P370" s="20">
        <f>32</f>
        <v/>
      </c>
      <c r="Q370" s="20">
        <f>J370+L370+N370+O370-P370-M370</f>
        <v/>
      </c>
    </row>
    <row r="371">
      <c r="A371" s="19" t="inlineStr">
        <is>
          <t>5.29-6.4</t>
        </is>
      </c>
      <c r="B371" s="19" t="inlineStr">
        <is>
          <t>PO-128-13153882481274061</t>
        </is>
      </c>
      <c r="C371" s="19" t="inlineStr">
        <is>
          <t>Shipped</t>
        </is>
      </c>
      <c r="D371" s="19" t="inlineStr">
        <is>
          <t>128-13153903452794061</t>
        </is>
      </c>
      <c r="E371" s="19" t="inlineStr">
        <is>
          <t>Shipped</t>
        </is>
      </c>
      <c r="F371" s="19" t="inlineStr">
        <is>
          <t>BS-09</t>
        </is>
      </c>
      <c r="G371" s="19" t="inlineStr">
        <is>
          <t>Altavoz de barra para PC con iluminación RGB, sonido de alta fidelidad y múltiples conexiones: Bluetooth, radio FM, USB, TF, AUX y TWS. Ideal para juegos, reuniones y cine en casa.</t>
        </is>
      </c>
      <c r="H371" s="19" t="inlineStr">
        <is>
          <t>NEGRO</t>
        </is>
      </c>
      <c r="I371" s="19" t="n">
        <v>1</v>
      </c>
      <c r="J371" s="20" t="n">
        <v>116</v>
      </c>
      <c r="K371" s="20" t="n">
        <v>144.38</v>
      </c>
      <c r="L371" s="20" t="n">
        <v>25.86</v>
      </c>
      <c r="M371" s="20" t="n">
        <v>0</v>
      </c>
      <c r="N371" s="20">
        <f>K371*0.08+L371*0.08</f>
        <v/>
      </c>
      <c r="O371" s="20">
        <f>-(K371*0.025+L371*0.025)</f>
        <v/>
      </c>
      <c r="P371" s="20">
        <f>32</f>
        <v/>
      </c>
      <c r="Q371" s="20">
        <f>J371+L371+N371+O371-P371-M371</f>
        <v/>
      </c>
    </row>
    <row r="372">
      <c r="A372" s="19" t="inlineStr">
        <is>
          <t>5.29-6.4</t>
        </is>
      </c>
      <c r="B372" s="19" t="inlineStr">
        <is>
          <t>PO-128-13331317975673066</t>
        </is>
      </c>
      <c r="C372" s="19" t="inlineStr">
        <is>
          <t>Shipped</t>
        </is>
      </c>
      <c r="D372" s="19" t="inlineStr">
        <is>
          <t>128-13331276032633066</t>
        </is>
      </c>
      <c r="E372" s="19" t="inlineStr">
        <is>
          <t>Shipped</t>
        </is>
      </c>
      <c r="F372" s="19" t="inlineStr">
        <is>
          <t>BS-07V</t>
        </is>
      </c>
      <c r="G372" s="19" t="inlineStr">
        <is>
          <t>Altavoz Inalámbrico Portátil con Diseño Retro, Bajos Optimizados y Sonido 3D Envolvente,Compatible con TF/FM/AUX, Conexión BT TWS. Ideal para Home Theater, Fiestas y Regalos​</t>
        </is>
      </c>
      <c r="H372" s="19" t="inlineStr">
        <is>
          <t>BS-07V</t>
        </is>
      </c>
      <c r="I372" s="19" t="n">
        <v>1</v>
      </c>
      <c r="J372" s="20" t="n">
        <v>132</v>
      </c>
      <c r="K372" s="20" t="n">
        <v>150.68</v>
      </c>
      <c r="L372" s="20" t="n">
        <v>25.86</v>
      </c>
      <c r="M372" s="20" t="n">
        <v>0</v>
      </c>
      <c r="N372" s="20">
        <f>K372*0.08+L372*0.08</f>
        <v/>
      </c>
      <c r="O372" s="20">
        <f>-(K372*0.025+L372*0.025)</f>
        <v/>
      </c>
      <c r="P372" s="20">
        <f>32</f>
        <v/>
      </c>
      <c r="Q372" s="20">
        <f>J372+L372+N372+O372-P372-M372</f>
        <v/>
      </c>
    </row>
    <row r="373">
      <c r="A373" s="19" t="inlineStr">
        <is>
          <t>5.29-6.4</t>
        </is>
      </c>
      <c r="B373" s="19" t="inlineStr">
        <is>
          <t>PO-128-02100040405113451</t>
        </is>
      </c>
      <c r="C373" s="19" t="inlineStr">
        <is>
          <t>Shipped</t>
        </is>
      </c>
      <c r="D373" s="19" t="inlineStr">
        <is>
          <t>128-02100029919353451</t>
        </is>
      </c>
      <c r="E373" s="19" t="inlineStr">
        <is>
          <t>Shipped</t>
        </is>
      </c>
      <c r="F373" s="19" t="inlineStr">
        <is>
          <t>BS-01</t>
        </is>
      </c>
      <c r="G37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3" s="19" t="inlineStr">
        <is>
          <t>BS-01</t>
        </is>
      </c>
      <c r="I373" s="19" t="n">
        <v>1</v>
      </c>
      <c r="J373" s="20" t="n">
        <v>215</v>
      </c>
      <c r="K373" s="20" t="n">
        <v>215.57</v>
      </c>
      <c r="L373" s="20" t="n">
        <v>25.86</v>
      </c>
      <c r="M373" s="20" t="n">
        <v>0</v>
      </c>
      <c r="N373" s="20">
        <f>K373*0.08+L373*0.08</f>
        <v/>
      </c>
      <c r="O373" s="20">
        <f>-(K373*0.025+L373*0.025)</f>
        <v/>
      </c>
      <c r="P373" s="20">
        <f>32</f>
        <v/>
      </c>
      <c r="Q373" s="20">
        <f>J373+L373+N373+O373-P373-M373</f>
        <v/>
      </c>
    </row>
    <row r="374">
      <c r="A374" s="19" t="inlineStr">
        <is>
          <t>5.29-6.4</t>
        </is>
      </c>
      <c r="B374" s="19" t="inlineStr">
        <is>
          <t>PO-128-02148184545913994</t>
        </is>
      </c>
      <c r="C374" s="19" t="inlineStr">
        <is>
          <t>Shipped</t>
        </is>
      </c>
      <c r="D374" s="19" t="inlineStr">
        <is>
          <t>128-02148205517433994</t>
        </is>
      </c>
      <c r="E374" s="19" t="inlineStr">
        <is>
          <t>Shipped</t>
        </is>
      </c>
      <c r="F374" s="19" t="inlineStr">
        <is>
          <t>S-10302</t>
        </is>
      </c>
      <c r="G374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374" s="19" t="inlineStr">
        <is>
          <t>s-10302</t>
        </is>
      </c>
      <c r="I374" s="19" t="n">
        <v>1</v>
      </c>
      <c r="J374" s="20" t="n">
        <v>60.34</v>
      </c>
      <c r="K374" s="20" t="n">
        <v>68.34</v>
      </c>
      <c r="L374" s="20" t="n">
        <v>25.86</v>
      </c>
      <c r="M374" s="20" t="n">
        <v>0</v>
      </c>
      <c r="N374" s="20">
        <f>K374*0.08+L374*0.08</f>
        <v/>
      </c>
      <c r="O374" s="20">
        <f>-(K374*0.025+L374*0.025)</f>
        <v/>
      </c>
      <c r="P374" s="20">
        <f>32</f>
        <v/>
      </c>
      <c r="Q374" s="20">
        <f>J374+L374+N374+O374-P374-M374</f>
        <v/>
      </c>
    </row>
    <row r="375">
      <c r="A375" s="19" t="inlineStr">
        <is>
          <t>5.29-6.4</t>
        </is>
      </c>
      <c r="B375" s="19" t="inlineStr">
        <is>
          <t>PO-128-02345843743352816</t>
        </is>
      </c>
      <c r="C375" s="19" t="inlineStr">
        <is>
          <t>Shipped</t>
        </is>
      </c>
      <c r="D375" s="19" t="inlineStr">
        <is>
          <t>128-02345812286072816</t>
        </is>
      </c>
      <c r="E375" s="19" t="inlineStr">
        <is>
          <t>Shipped</t>
        </is>
      </c>
      <c r="F375" s="19" t="inlineStr">
        <is>
          <t>BS-01</t>
        </is>
      </c>
      <c r="G37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5" s="19" t="inlineStr">
        <is>
          <t>BS-01</t>
        </is>
      </c>
      <c r="I375" s="19" t="n">
        <v>1</v>
      </c>
      <c r="J375" s="20" t="n">
        <v>215</v>
      </c>
      <c r="K375" s="20" t="n">
        <v>253.6</v>
      </c>
      <c r="L375" s="20" t="n">
        <v>25.86</v>
      </c>
      <c r="M375" s="20" t="n">
        <v>0</v>
      </c>
      <c r="N375" s="20">
        <f>K375*0.08+L375*0.08</f>
        <v/>
      </c>
      <c r="O375" s="20">
        <f>-(K375*0.025+L375*0.025)</f>
        <v/>
      </c>
      <c r="P375" s="20">
        <f>32</f>
        <v/>
      </c>
      <c r="Q375" s="20">
        <f>J375+L375+N375+O375-P375-M375</f>
        <v/>
      </c>
    </row>
    <row r="376">
      <c r="A376" s="19" t="inlineStr">
        <is>
          <t>5.29-6.4</t>
        </is>
      </c>
      <c r="B376" s="19" t="inlineStr">
        <is>
          <t>PO-128-21937848218230857</t>
        </is>
      </c>
      <c r="C376" s="19" t="inlineStr">
        <is>
          <t>Shipped</t>
        </is>
      </c>
      <c r="D376" s="19" t="inlineStr">
        <is>
          <t>128-21937886229110857</t>
        </is>
      </c>
      <c r="E376" s="19" t="inlineStr">
        <is>
          <t>Shipped</t>
        </is>
      </c>
      <c r="F376" s="19" t="inlineStr">
        <is>
          <t>BS-01</t>
        </is>
      </c>
      <c r="G37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6" s="19" t="inlineStr">
        <is>
          <t>BS-01</t>
        </is>
      </c>
      <c r="I376" s="19" t="n">
        <v>1</v>
      </c>
      <c r="J376" s="20" t="n">
        <v>215</v>
      </c>
      <c r="K376" s="20" t="n">
        <v>253.6</v>
      </c>
      <c r="L376" s="20" t="n">
        <v>25.86</v>
      </c>
      <c r="M376" s="20" t="n">
        <v>0</v>
      </c>
      <c r="N376" s="20">
        <f>K376*0.08+L376*0.08</f>
        <v/>
      </c>
      <c r="O376" s="20">
        <f>-(K376*0.025+L376*0.025)</f>
        <v/>
      </c>
      <c r="P376" s="20">
        <f>32</f>
        <v/>
      </c>
      <c r="Q376" s="20">
        <f>J376+L376+N376+O376-P376-M376</f>
        <v/>
      </c>
    </row>
    <row r="377">
      <c r="A377" s="19" t="inlineStr">
        <is>
          <t>5.29-6.4</t>
        </is>
      </c>
      <c r="B377" s="19" t="inlineStr">
        <is>
          <t>PO-128-21628981376632568</t>
        </is>
      </c>
      <c r="C377" s="19" t="inlineStr">
        <is>
          <t>Shipped</t>
        </is>
      </c>
      <c r="D377" s="19" t="inlineStr">
        <is>
          <t>128-21629015455352568</t>
        </is>
      </c>
      <c r="E377" s="19" t="inlineStr">
        <is>
          <t>Shipped</t>
        </is>
      </c>
      <c r="F377" s="19" t="inlineStr">
        <is>
          <t>BS-01</t>
        </is>
      </c>
      <c r="G37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7" s="19" t="inlineStr">
        <is>
          <t>BS-01</t>
        </is>
      </c>
      <c r="I377" s="19" t="n">
        <v>1</v>
      </c>
      <c r="J377" s="20" t="n">
        <v>215</v>
      </c>
      <c r="K377" s="20" t="n">
        <v>253.6</v>
      </c>
      <c r="L377" s="20" t="n">
        <v>25.86</v>
      </c>
      <c r="M377" s="20" t="n">
        <v>0</v>
      </c>
      <c r="N377" s="20">
        <f>K377*0.08+L377*0.08</f>
        <v/>
      </c>
      <c r="O377" s="20">
        <f>-(K377*0.025+L377*0.025)</f>
        <v/>
      </c>
      <c r="P377" s="20">
        <f>32</f>
        <v/>
      </c>
      <c r="Q377" s="20">
        <f>J377+L377+N377+O377-P377-M377</f>
        <v/>
      </c>
    </row>
    <row r="378">
      <c r="A378" s="19" t="inlineStr">
        <is>
          <t>5.29-6.4</t>
        </is>
      </c>
      <c r="B378" s="19" t="inlineStr">
        <is>
          <t>PO-128-21469978829433709</t>
        </is>
      </c>
      <c r="C378" s="19" t="inlineStr">
        <is>
          <t>Shipped</t>
        </is>
      </c>
      <c r="D378" s="19" t="inlineStr">
        <is>
          <t>128-21470130872953709</t>
        </is>
      </c>
      <c r="E378" s="19" t="inlineStr">
        <is>
          <t>Shipped</t>
        </is>
      </c>
      <c r="F378" s="19" t="inlineStr">
        <is>
          <t>BS-01</t>
        </is>
      </c>
      <c r="G37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8" s="19" t="inlineStr">
        <is>
          <t>BS-01</t>
        </is>
      </c>
      <c r="I378" s="19" t="n">
        <v>1</v>
      </c>
      <c r="J378" s="20" t="n">
        <v>219</v>
      </c>
      <c r="K378" s="20" t="n">
        <v>257.6</v>
      </c>
      <c r="L378" s="20" t="n">
        <v>25.86</v>
      </c>
      <c r="M378" s="20" t="n">
        <v>0</v>
      </c>
      <c r="N378" s="20">
        <f>K378*0.08+L378*0.08</f>
        <v/>
      </c>
      <c r="O378" s="20">
        <f>-(K378*0.025+L378*0.025)</f>
        <v/>
      </c>
      <c r="P378" s="20">
        <f>32</f>
        <v/>
      </c>
      <c r="Q378" s="20">
        <f>J378+L378+N378+O378-P378-M378</f>
        <v/>
      </c>
    </row>
    <row r="379">
      <c r="A379" s="19" t="inlineStr">
        <is>
          <t>5.29-6.4</t>
        </is>
      </c>
      <c r="B379" s="19" t="inlineStr">
        <is>
          <t>PO-128-07742543667832523</t>
        </is>
      </c>
      <c r="C379" s="19" t="inlineStr">
        <is>
          <t>Delivered</t>
        </is>
      </c>
      <c r="D379" s="19" t="inlineStr">
        <is>
          <t>128-07742648525432523</t>
        </is>
      </c>
      <c r="E379" s="19" t="inlineStr">
        <is>
          <t>Delivered</t>
        </is>
      </c>
      <c r="F379" s="19" t="inlineStr">
        <is>
          <t>BS-01</t>
        </is>
      </c>
      <c r="G37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9" s="19" t="inlineStr">
        <is>
          <t>BS-01</t>
        </is>
      </c>
      <c r="I379" s="19" t="n">
        <v>1</v>
      </c>
      <c r="J379" s="20" t="n">
        <v>219</v>
      </c>
      <c r="K379" s="20" t="n">
        <v>257.6</v>
      </c>
      <c r="L379" s="20" t="n">
        <v>25.86</v>
      </c>
      <c r="M379" s="20" t="n">
        <v>0</v>
      </c>
      <c r="N379" s="20">
        <f>K379*0.08+L379*0.08</f>
        <v/>
      </c>
      <c r="O379" s="20">
        <f>-(K379*0.025+L379*0.025)</f>
        <v/>
      </c>
      <c r="P379" s="20">
        <f>32</f>
        <v/>
      </c>
      <c r="Q379" s="20">
        <f>J379+L379+N379+O379-P379-M379</f>
        <v/>
      </c>
    </row>
    <row r="380">
      <c r="A380" s="19" t="inlineStr">
        <is>
          <t>5.29-6.4</t>
        </is>
      </c>
      <c r="B380" s="19" t="inlineStr">
        <is>
          <t>PO-128-13231968748152442</t>
        </is>
      </c>
      <c r="C380" s="19" t="inlineStr">
        <is>
          <t>Delivered</t>
        </is>
      </c>
      <c r="D380" s="19" t="inlineStr">
        <is>
          <t>128-13231989719672442</t>
        </is>
      </c>
      <c r="E380" s="19" t="inlineStr">
        <is>
          <t>Delivered</t>
        </is>
      </c>
      <c r="F380" s="19" t="inlineStr">
        <is>
          <t>BS-01</t>
        </is>
      </c>
      <c r="G38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0" s="19" t="inlineStr">
        <is>
          <t>BS-01</t>
        </is>
      </c>
      <c r="I380" s="19" t="n">
        <v>1</v>
      </c>
      <c r="J380" s="20" t="n">
        <v>219</v>
      </c>
      <c r="K380" s="20" t="n">
        <v>206.08</v>
      </c>
      <c r="L380" s="20" t="n">
        <v>25.86</v>
      </c>
      <c r="M380" s="20" t="n">
        <v>0</v>
      </c>
      <c r="N380" s="20">
        <f>K380*0.08+L380*0.08</f>
        <v/>
      </c>
      <c r="O380" s="20">
        <f>-(K380*0.025+L380*0.025)</f>
        <v/>
      </c>
      <c r="P380" s="20">
        <f>32</f>
        <v/>
      </c>
      <c r="Q380" s="20">
        <f>J380+L380+N380+O380-P380-M380</f>
        <v/>
      </c>
    </row>
    <row r="381">
      <c r="A381" s="19" t="inlineStr">
        <is>
          <t>5.29-6.4</t>
        </is>
      </c>
      <c r="B381" s="19" t="inlineStr">
        <is>
          <t>PO-128-13732016814710551</t>
        </is>
      </c>
      <c r="C381" s="19" t="inlineStr">
        <is>
          <t>Delivered</t>
        </is>
      </c>
      <c r="D381" s="19" t="inlineStr">
        <is>
          <t>128-13731995843190551</t>
        </is>
      </c>
      <c r="E381" s="19" t="inlineStr">
        <is>
          <t>Delivered</t>
        </is>
      </c>
      <c r="F381" s="19" t="inlineStr">
        <is>
          <t>BS-01</t>
        </is>
      </c>
      <c r="G38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1" s="19" t="inlineStr">
        <is>
          <t>BS-01</t>
        </is>
      </c>
      <c r="I381" s="19" t="n">
        <v>1</v>
      </c>
      <c r="J381" s="20" t="n">
        <v>219</v>
      </c>
      <c r="K381" s="20" t="n">
        <v>257.6</v>
      </c>
      <c r="L381" s="20" t="n">
        <v>25.86</v>
      </c>
      <c r="M381" s="20" t="n">
        <v>0</v>
      </c>
      <c r="N381" s="20">
        <f>K381*0.08+L381*0.08</f>
        <v/>
      </c>
      <c r="O381" s="20">
        <f>-(K381*0.025+L381*0.025)</f>
        <v/>
      </c>
      <c r="P381" s="20">
        <f>32</f>
        <v/>
      </c>
      <c r="Q381" s="20">
        <f>J381+L381+N381+O381-P381-M381</f>
        <v/>
      </c>
    </row>
    <row r="382">
      <c r="A382" s="19" t="inlineStr">
        <is>
          <t>5.29-6.4</t>
        </is>
      </c>
      <c r="B382" s="19" t="inlineStr">
        <is>
          <t>PO-128-13231081493112449</t>
        </is>
      </c>
      <c r="C382" s="19" t="inlineStr">
        <is>
          <t>Delivered</t>
        </is>
      </c>
      <c r="D382" s="19" t="inlineStr">
        <is>
          <t>128-13231123436152449</t>
        </is>
      </c>
      <c r="E382" s="19" t="inlineStr">
        <is>
          <t>Delivered</t>
        </is>
      </c>
      <c r="F382" s="19" t="inlineStr">
        <is>
          <t>BS-09</t>
        </is>
      </c>
      <c r="G382" s="19" t="inlineStr">
        <is>
          <t>Altavoz de barra para PC con iluminación RGB, sonido de alta fidelidad y múltiples conexiones: Bluetooth, radio FM, USB, TF, AUX y TWS. Ideal para juegos, reuniones y cine en casa.</t>
        </is>
      </c>
      <c r="H382" s="19" t="inlineStr">
        <is>
          <t>NEGRO</t>
        </is>
      </c>
      <c r="I382" s="19" t="n">
        <v>2</v>
      </c>
      <c r="J382" s="20" t="n">
        <v>235.98</v>
      </c>
      <c r="K382" s="20" t="n">
        <v>292.72</v>
      </c>
      <c r="L382" s="20" t="n">
        <v>0</v>
      </c>
      <c r="M382" s="20" t="n">
        <v>0</v>
      </c>
      <c r="N382" s="20">
        <f>K382*0.08+L382*0.08</f>
        <v/>
      </c>
      <c r="O382" s="20">
        <f>-(K382*0.025+L382*0.025)</f>
        <v/>
      </c>
      <c r="P382" s="20">
        <f>32</f>
        <v/>
      </c>
      <c r="Q382" s="20">
        <f>J382+L382+N382+O382-P382-M382</f>
        <v/>
      </c>
    </row>
    <row r="383">
      <c r="A383" s="19" t="inlineStr">
        <is>
          <t>5.29-6.4</t>
        </is>
      </c>
      <c r="B383" s="19" t="inlineStr">
        <is>
          <t>PO-128-13219403397753671</t>
        </is>
      </c>
      <c r="C383" s="19" t="inlineStr">
        <is>
          <t>Delivered</t>
        </is>
      </c>
      <c r="D383" s="19" t="inlineStr">
        <is>
          <t>128-13219361454713671</t>
        </is>
      </c>
      <c r="E383" s="19" t="inlineStr">
        <is>
          <t>Delivered</t>
        </is>
      </c>
      <c r="F383" s="19" t="inlineStr">
        <is>
          <t>BS-01</t>
        </is>
      </c>
      <c r="G38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3" s="19" t="inlineStr">
        <is>
          <t>BS-01</t>
        </is>
      </c>
      <c r="I383" s="19" t="n">
        <v>1</v>
      </c>
      <c r="J383" s="20" t="n">
        <v>219</v>
      </c>
      <c r="K383" s="20" t="n">
        <v>257.6</v>
      </c>
      <c r="L383" s="20" t="n">
        <v>25.86</v>
      </c>
      <c r="M383" s="20" t="n">
        <v>0</v>
      </c>
      <c r="N383" s="20">
        <f>K383*0.08+L383*0.08</f>
        <v/>
      </c>
      <c r="O383" s="20">
        <f>-(K383*0.025+L383*0.025)</f>
        <v/>
      </c>
      <c r="P383" s="20">
        <f>32</f>
        <v/>
      </c>
      <c r="Q383" s="20">
        <f>J383+L383+N383+O383-P383-M383</f>
        <v/>
      </c>
    </row>
    <row r="384">
      <c r="A384" s="19" t="inlineStr">
        <is>
          <t>5.29-6.4</t>
        </is>
      </c>
      <c r="B384" s="19" t="inlineStr">
        <is>
          <t>PO-128-13252836762232319</t>
        </is>
      </c>
      <c r="C384" s="19" t="inlineStr">
        <is>
          <t>Delivered</t>
        </is>
      </c>
      <c r="D384" s="19" t="inlineStr">
        <is>
          <t>128-13252973077112319</t>
        </is>
      </c>
      <c r="E384" s="19" t="inlineStr">
        <is>
          <t>Delivered</t>
        </is>
      </c>
      <c r="F384" s="19" t="inlineStr">
        <is>
          <t>BS-01</t>
        </is>
      </c>
      <c r="G38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4" s="19" t="inlineStr">
        <is>
          <t>BS-01</t>
        </is>
      </c>
      <c r="I384" s="19" t="n">
        <v>1</v>
      </c>
      <c r="J384" s="20" t="n">
        <v>219</v>
      </c>
      <c r="K384" s="20" t="n">
        <v>257.6</v>
      </c>
      <c r="L384" s="20" t="n">
        <v>25.86</v>
      </c>
      <c r="M384" s="20" t="n">
        <v>0</v>
      </c>
      <c r="N384" s="20">
        <f>K384*0.08+L384*0.08</f>
        <v/>
      </c>
      <c r="O384" s="20">
        <f>-(K384*0.025+L384*0.025)</f>
        <v/>
      </c>
      <c r="P384" s="20">
        <f>32</f>
        <v/>
      </c>
      <c r="Q384" s="20">
        <f>J384+L384+N384+O384-P384-M384</f>
        <v/>
      </c>
    </row>
    <row r="385">
      <c r="A385" s="19" t="inlineStr">
        <is>
          <t>5.29-6.4</t>
        </is>
      </c>
      <c r="B385" s="19" t="inlineStr">
        <is>
          <t>PO-128-13654766428790114</t>
        </is>
      </c>
      <c r="C385" s="19" t="inlineStr">
        <is>
          <t>Delivered</t>
        </is>
      </c>
      <c r="D385" s="19" t="inlineStr">
        <is>
          <t>128-13654808248950114</t>
        </is>
      </c>
      <c r="E385" s="19" t="inlineStr">
        <is>
          <t>Delivered</t>
        </is>
      </c>
      <c r="F385" s="19" t="inlineStr">
        <is>
          <t>BS-01</t>
        </is>
      </c>
      <c r="G38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5" s="19" t="inlineStr">
        <is>
          <t>BS-01</t>
        </is>
      </c>
      <c r="I385" s="19" t="n">
        <v>1</v>
      </c>
      <c r="J385" s="20" t="n">
        <v>215</v>
      </c>
      <c r="K385" s="20" t="n">
        <v>253.6</v>
      </c>
      <c r="L385" s="20" t="n">
        <v>0</v>
      </c>
      <c r="M385" s="20" t="n">
        <v>253.6</v>
      </c>
      <c r="N385" s="20">
        <f>K385*0.08+L385*0.08</f>
        <v/>
      </c>
      <c r="O385" s="20">
        <f>-(K385*0.025+L385*0.025)</f>
        <v/>
      </c>
      <c r="P385" s="20">
        <f>32</f>
        <v/>
      </c>
      <c r="Q385" s="20">
        <f>J385+L385+N385+O385-P385-M385</f>
        <v/>
      </c>
    </row>
    <row r="386">
      <c r="A386" s="19" t="inlineStr">
        <is>
          <t>5.29-6.4</t>
        </is>
      </c>
      <c r="B386" s="19" t="inlineStr">
        <is>
          <t>PO-128-13108006052473247</t>
        </is>
      </c>
      <c r="C386" s="19" t="inlineStr">
        <is>
          <t>Delivered</t>
        </is>
      </c>
      <c r="D386" s="19" t="inlineStr">
        <is>
          <t>128-13107964109433247</t>
        </is>
      </c>
      <c r="E386" s="19" t="inlineStr">
        <is>
          <t>Delivered</t>
        </is>
      </c>
      <c r="F386" s="19" t="inlineStr">
        <is>
          <t>BS-01</t>
        </is>
      </c>
      <c r="G38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6" s="19" t="inlineStr">
        <is>
          <t>BS-01</t>
        </is>
      </c>
      <c r="I386" s="19" t="n">
        <v>1</v>
      </c>
      <c r="J386" s="20" t="n">
        <v>215</v>
      </c>
      <c r="K386" s="20" t="n">
        <v>253.6</v>
      </c>
      <c r="L386" s="20" t="n">
        <v>25.86</v>
      </c>
      <c r="M386" s="20" t="n">
        <v>0</v>
      </c>
      <c r="N386" s="20">
        <f>K386*0.08+L386*0.08</f>
        <v/>
      </c>
      <c r="O386" s="20">
        <f>-(K386*0.025+L386*0.025)</f>
        <v/>
      </c>
      <c r="P386" s="20">
        <f>32</f>
        <v/>
      </c>
      <c r="Q386" s="20">
        <f>J386+L386+N386+O386-P386-M386</f>
        <v/>
      </c>
    </row>
    <row r="387">
      <c r="A387" s="19" t="inlineStr">
        <is>
          <t>5.29-6.4</t>
        </is>
      </c>
      <c r="B387" s="19" t="inlineStr">
        <is>
          <t>PO-128-13648400855670088</t>
        </is>
      </c>
      <c r="C387" s="19" t="inlineStr">
        <is>
          <t>Delivered</t>
        </is>
      </c>
      <c r="D387" s="19" t="inlineStr">
        <is>
          <t>128-13648358912630088</t>
        </is>
      </c>
      <c r="E387" s="19" t="inlineStr">
        <is>
          <t>Delivered</t>
        </is>
      </c>
      <c r="F387" s="19" t="inlineStr">
        <is>
          <t>BS-09</t>
        </is>
      </c>
      <c r="G387" s="19" t="inlineStr">
        <is>
          <t>Altavoz de barra para PC con iluminación RGB, sonido de alta fidelidad y múltiples conexiones: Bluetooth, radio FM, USB, TF, AUX y TWS. Ideal para juegos, reuniones y cine en casa.</t>
        </is>
      </c>
      <c r="H387" s="19" t="inlineStr">
        <is>
          <t>NEGRO</t>
        </is>
      </c>
      <c r="I387" s="19" t="n">
        <v>1</v>
      </c>
      <c r="J387" s="20" t="n">
        <v>116</v>
      </c>
      <c r="K387" s="20" t="n">
        <v>144.38</v>
      </c>
      <c r="L387" s="20" t="n">
        <v>25.86</v>
      </c>
      <c r="M387" s="20" t="n">
        <v>0</v>
      </c>
      <c r="N387" s="20">
        <f>K387*0.08+L387*0.08</f>
        <v/>
      </c>
      <c r="O387" s="20">
        <f>-(K387*0.025+L387*0.025)</f>
        <v/>
      </c>
      <c r="P387" s="20">
        <f>32</f>
        <v/>
      </c>
      <c r="Q387" s="20">
        <f>J387+L387+N387+O387-P387-M387</f>
        <v/>
      </c>
    </row>
    <row r="388">
      <c r="A388" s="19" t="inlineStr">
        <is>
          <t>5.29-6.4</t>
        </is>
      </c>
      <c r="B388" s="19" t="inlineStr">
        <is>
          <t>PO-128-13176851702393922</t>
        </is>
      </c>
      <c r="C388" s="19" t="inlineStr">
        <is>
          <t>Delivered</t>
        </is>
      </c>
      <c r="D388" s="19" t="inlineStr">
        <is>
          <t>128-13176835850873922</t>
        </is>
      </c>
      <c r="E388" s="19" t="inlineStr">
        <is>
          <t>Delivered</t>
        </is>
      </c>
      <c r="F388" s="19" t="inlineStr">
        <is>
          <t>BS-01</t>
        </is>
      </c>
      <c r="G38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8" s="19" t="inlineStr">
        <is>
          <t>BS-01</t>
        </is>
      </c>
      <c r="I388" s="19" t="n">
        <v>1</v>
      </c>
      <c r="J388" s="20" t="n">
        <v>215</v>
      </c>
      <c r="K388" s="20" t="n">
        <v>253.6</v>
      </c>
      <c r="L388" s="20" t="n">
        <v>25.86</v>
      </c>
      <c r="M388" s="20" t="n">
        <v>0</v>
      </c>
      <c r="N388" s="20">
        <f>K388*0.08+L388*0.08</f>
        <v/>
      </c>
      <c r="O388" s="20">
        <f>-(K388*0.025+L388*0.025)</f>
        <v/>
      </c>
      <c r="P388" s="20">
        <f>32</f>
        <v/>
      </c>
      <c r="Q388" s="20">
        <f>J388+L388+N388+O388-P388-M388</f>
        <v/>
      </c>
    </row>
    <row r="389">
      <c r="A389" s="19" t="inlineStr">
        <is>
          <t>5.29-6.4</t>
        </is>
      </c>
      <c r="B389" s="19" t="inlineStr">
        <is>
          <t>PO-128-13340549663352821</t>
        </is>
      </c>
      <c r="C389" s="19" t="inlineStr">
        <is>
          <t>Delivered</t>
        </is>
      </c>
      <c r="D389" s="19" t="inlineStr">
        <is>
          <t>128-13340507720312821</t>
        </is>
      </c>
      <c r="E389" s="19" t="inlineStr">
        <is>
          <t>Delivered</t>
        </is>
      </c>
      <c r="F389" s="19" t="inlineStr">
        <is>
          <t>BS-01</t>
        </is>
      </c>
      <c r="G38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9" s="19" t="inlineStr">
        <is>
          <t>BS-01</t>
        </is>
      </c>
      <c r="I389" s="19" t="n">
        <v>1</v>
      </c>
      <c r="J389" s="20" t="n">
        <v>215</v>
      </c>
      <c r="K389" s="20" t="n">
        <v>253.6</v>
      </c>
      <c r="L389" s="20" t="n">
        <v>25.86</v>
      </c>
      <c r="M389" s="20" t="n">
        <v>0</v>
      </c>
      <c r="N389" s="20">
        <f>K389*0.08+L389*0.08</f>
        <v/>
      </c>
      <c r="O389" s="20">
        <f>-(K389*0.025+L389*0.025)</f>
        <v/>
      </c>
      <c r="P389" s="20">
        <f>32</f>
        <v/>
      </c>
      <c r="Q389" s="20">
        <f>J389+L389+N389+O389-P389-M389</f>
        <v/>
      </c>
    </row>
    <row r="390">
      <c r="A390" s="19" t="inlineStr">
        <is>
          <t>5.29-6.4</t>
        </is>
      </c>
      <c r="B390" s="19" t="inlineStr">
        <is>
          <t>PO-128-13269232456312412</t>
        </is>
      </c>
      <c r="C390" s="19" t="inlineStr">
        <is>
          <t>Delivered</t>
        </is>
      </c>
      <c r="D390" s="19" t="inlineStr">
        <is>
          <t>128-13269174784632412</t>
        </is>
      </c>
      <c r="E390" s="19" t="inlineStr">
        <is>
          <t>Delivered</t>
        </is>
      </c>
      <c r="F390" s="19" t="inlineStr">
        <is>
          <t>BS-09</t>
        </is>
      </c>
      <c r="G390" s="19" t="inlineStr">
        <is>
          <t>Altavoz de barra para PC con iluminación RGB, sonido de alta fidelidad y múltiples conexiones: Bluetooth, radio FM, USB, TF, AUX y TWS. Ideal para juegos, reuniones y cine en casa.</t>
        </is>
      </c>
      <c r="H390" s="19" t="inlineStr">
        <is>
          <t>NEGRO</t>
        </is>
      </c>
      <c r="I390" s="19" t="n">
        <v>1</v>
      </c>
      <c r="J390" s="20" t="n">
        <v>116</v>
      </c>
      <c r="K390" s="20" t="n">
        <v>144.38</v>
      </c>
      <c r="L390" s="20" t="n">
        <v>25.86</v>
      </c>
      <c r="M390" s="20" t="n">
        <v>0</v>
      </c>
      <c r="N390" s="20">
        <f>K390*0.08+L390*0.08</f>
        <v/>
      </c>
      <c r="O390" s="20">
        <f>-(K390*0.025+L390*0.025)</f>
        <v/>
      </c>
      <c r="P390" s="20">
        <f>32</f>
        <v/>
      </c>
      <c r="Q390" s="20">
        <f>J390+L390+N390+O390-P390-M390</f>
        <v/>
      </c>
    </row>
    <row r="391">
      <c r="A391" s="19" t="inlineStr">
        <is>
          <t>5.29-6.4</t>
        </is>
      </c>
      <c r="B391" s="19" t="inlineStr">
        <is>
          <t>PO-128-02309649170552136</t>
        </is>
      </c>
      <c r="C391" s="19" t="inlineStr">
        <is>
          <t>Delivered</t>
        </is>
      </c>
      <c r="D391" s="19" t="inlineStr">
        <is>
          <t>128-02309701599352136</t>
        </is>
      </c>
      <c r="E391" s="19" t="inlineStr">
        <is>
          <t>Delivered</t>
        </is>
      </c>
      <c r="F391" s="19" t="inlineStr">
        <is>
          <t>BS-01</t>
        </is>
      </c>
      <c r="G39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1" s="19" t="inlineStr">
        <is>
          <t>BS-01</t>
        </is>
      </c>
      <c r="I391" s="19" t="n">
        <v>1</v>
      </c>
      <c r="J391" s="20" t="n">
        <v>215</v>
      </c>
      <c r="K391" s="20" t="n">
        <v>202.88</v>
      </c>
      <c r="L391" s="20" t="n">
        <v>25.86</v>
      </c>
      <c r="M391" s="20" t="n">
        <v>0</v>
      </c>
      <c r="N391" s="20">
        <f>K391*0.08+L391*0.08</f>
        <v/>
      </c>
      <c r="O391" s="20">
        <f>-(K391*0.025+L391*0.025)</f>
        <v/>
      </c>
      <c r="P391" s="20">
        <f>32</f>
        <v/>
      </c>
      <c r="Q391" s="20">
        <f>J391+L391+N391+O391-P391-M391</f>
        <v/>
      </c>
    </row>
    <row r="392">
      <c r="A392" s="19" t="inlineStr">
        <is>
          <t>5.29-6.4</t>
        </is>
      </c>
      <c r="B392" s="19" t="inlineStr">
        <is>
          <t>PO-128-02735044677750560</t>
        </is>
      </c>
      <c r="C392" s="19" t="inlineStr">
        <is>
          <t>Delivered</t>
        </is>
      </c>
      <c r="D392" s="19" t="inlineStr">
        <is>
          <t>128-02735030259830560</t>
        </is>
      </c>
      <c r="E392" s="19" t="inlineStr">
        <is>
          <t>Delivered</t>
        </is>
      </c>
      <c r="F392" s="19" t="inlineStr">
        <is>
          <t>BS-01</t>
        </is>
      </c>
      <c r="G39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2" s="19" t="inlineStr">
        <is>
          <t>BS-01</t>
        </is>
      </c>
      <c r="I392" s="19" t="n">
        <v>1</v>
      </c>
      <c r="J392" s="20" t="n">
        <v>215</v>
      </c>
      <c r="K392" s="20" t="n">
        <v>246.42</v>
      </c>
      <c r="L392" s="20" t="n">
        <v>25.86</v>
      </c>
      <c r="M392" s="20" t="n">
        <v>0</v>
      </c>
      <c r="N392" s="20">
        <f>K392*0.08+L392*0.08</f>
        <v/>
      </c>
      <c r="O392" s="20">
        <f>-(K392*0.025+L392*0.025)</f>
        <v/>
      </c>
      <c r="P392" s="20">
        <f>32</f>
        <v/>
      </c>
      <c r="Q392" s="20">
        <f>J392+L392+N392+O392-P392-M392</f>
        <v/>
      </c>
    </row>
    <row r="393">
      <c r="A393" s="19" t="inlineStr">
        <is>
          <t>5.29-6.4</t>
        </is>
      </c>
      <c r="B393" s="19" t="inlineStr">
        <is>
          <t>PO-128-02311859576952125</t>
        </is>
      </c>
      <c r="C393" s="19" t="inlineStr">
        <is>
          <t>Delivered</t>
        </is>
      </c>
      <c r="D393" s="19" t="inlineStr">
        <is>
          <t>128-02311817633912125</t>
        </is>
      </c>
      <c r="E393" s="19" t="inlineStr">
        <is>
          <t>Delivered</t>
        </is>
      </c>
      <c r="F393" s="19" t="inlineStr">
        <is>
          <t>BS-01</t>
        </is>
      </c>
      <c r="G39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3" s="19" t="inlineStr">
        <is>
          <t>BS-01</t>
        </is>
      </c>
      <c r="I393" s="19" t="n">
        <v>1</v>
      </c>
      <c r="J393" s="20" t="n">
        <v>215</v>
      </c>
      <c r="K393" s="20" t="n">
        <v>253.6</v>
      </c>
      <c r="L393" s="20" t="n">
        <v>25.86</v>
      </c>
      <c r="M393" s="20" t="n">
        <v>0</v>
      </c>
      <c r="N393" s="20">
        <f>K393*0.08+L393*0.08</f>
        <v/>
      </c>
      <c r="O393" s="20">
        <f>-(K393*0.025+L393*0.025)</f>
        <v/>
      </c>
      <c r="P393" s="20">
        <f>32</f>
        <v/>
      </c>
      <c r="Q393" s="20">
        <f>J393+L393+N393+O393-P393-M393</f>
        <v/>
      </c>
    </row>
    <row r="394">
      <c r="A394" s="19" t="inlineStr">
        <is>
          <t>5.29-6.4</t>
        </is>
      </c>
      <c r="B394" s="19" t="inlineStr">
        <is>
          <t>PO-128-02719559140470719</t>
        </is>
      </c>
      <c r="C394" s="19" t="inlineStr">
        <is>
          <t>Delivered</t>
        </is>
      </c>
      <c r="D394" s="19" t="inlineStr">
        <is>
          <t>128-02719569626230719</t>
        </is>
      </c>
      <c r="E394" s="19" t="inlineStr">
        <is>
          <t>Delivered</t>
        </is>
      </c>
      <c r="F394" s="19" t="inlineStr">
        <is>
          <t>BS-09</t>
        </is>
      </c>
      <c r="G394" s="19" t="inlineStr">
        <is>
          <t>Altavoz de barra para PC con iluminación RGB, sonido de alta fidelidad y múltiples conexiones: Bluetooth, radio FM, USB, TF, AUX y TWS. Ideal para juegos, reuniones y cine en casa.</t>
        </is>
      </c>
      <c r="H394" s="19" t="inlineStr">
        <is>
          <t>NEGRO</t>
        </is>
      </c>
      <c r="I394" s="19" t="n">
        <v>1</v>
      </c>
      <c r="J394" s="20" t="n">
        <v>116</v>
      </c>
      <c r="K394" s="20" t="n">
        <v>144.38</v>
      </c>
      <c r="L394" s="20" t="n">
        <v>25.86</v>
      </c>
      <c r="M394" s="20" t="n">
        <v>0</v>
      </c>
      <c r="N394" s="20">
        <f>K394*0.08+L394*0.08</f>
        <v/>
      </c>
      <c r="O394" s="20">
        <f>-(K394*0.025+L394*0.025)</f>
        <v/>
      </c>
      <c r="P394" s="20">
        <f>32</f>
        <v/>
      </c>
      <c r="Q394" s="20">
        <f>J394+L394+N394+O394-P394-M394</f>
        <v/>
      </c>
    </row>
    <row r="395">
      <c r="A395" s="19" t="inlineStr">
        <is>
          <t>5.29-6.4</t>
        </is>
      </c>
      <c r="B395" s="19" t="inlineStr">
        <is>
          <t>PO-128-02348521751672864</t>
        </is>
      </c>
      <c r="C395" s="19" t="inlineStr">
        <is>
          <t>Delivered</t>
        </is>
      </c>
      <c r="D395" s="19" t="inlineStr">
        <is>
          <t>128-02348555830392864</t>
        </is>
      </c>
      <c r="E395" s="19" t="inlineStr">
        <is>
          <t>Delivered</t>
        </is>
      </c>
      <c r="F395" s="19" t="inlineStr">
        <is>
          <t>BS-09</t>
        </is>
      </c>
      <c r="G395" s="19" t="inlineStr">
        <is>
          <t>Altavoz de barra para PC con iluminación RGB, sonido de alta fidelidad y múltiples conexiones: Bluetooth, radio FM, USB, TF, AUX y TWS. Ideal para juegos, reuniones y cine en casa.</t>
        </is>
      </c>
      <c r="H395" s="19" t="inlineStr">
        <is>
          <t>NEGRO</t>
        </is>
      </c>
      <c r="I395" s="19" t="n">
        <v>1</v>
      </c>
      <c r="J395" s="20" t="n">
        <v>116</v>
      </c>
      <c r="K395" s="20" t="n">
        <v>144.38</v>
      </c>
      <c r="L395" s="20" t="n">
        <v>25.86</v>
      </c>
      <c r="M395" s="20" t="n">
        <v>0</v>
      </c>
      <c r="N395" s="20">
        <f>K395*0.08+L395*0.08</f>
        <v/>
      </c>
      <c r="O395" s="20">
        <f>-(K395*0.025+L395*0.025)</f>
        <v/>
      </c>
      <c r="P395" s="20">
        <f>32</f>
        <v/>
      </c>
      <c r="Q395" s="20">
        <f>J395+L395+N395+O395-P395-M395</f>
        <v/>
      </c>
    </row>
    <row r="396">
      <c r="A396" s="19" t="inlineStr">
        <is>
          <t>5.29-6.4</t>
        </is>
      </c>
      <c r="B396" s="19" t="inlineStr">
        <is>
          <t>PO-128-02414954386551444</t>
        </is>
      </c>
      <c r="C396" s="19" t="inlineStr">
        <is>
          <t>Delivered</t>
        </is>
      </c>
      <c r="D396" s="19" t="inlineStr">
        <is>
          <t>128-02414922929271444</t>
        </is>
      </c>
      <c r="E396" s="19" t="inlineStr">
        <is>
          <t>Delivered</t>
        </is>
      </c>
      <c r="F396" s="19" t="inlineStr">
        <is>
          <t>BS-01</t>
        </is>
      </c>
      <c r="G39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6" s="19" t="inlineStr">
        <is>
          <t>BS-01</t>
        </is>
      </c>
      <c r="I396" s="19" t="n">
        <v>1</v>
      </c>
      <c r="J396" s="20" t="n">
        <v>215</v>
      </c>
      <c r="K396" s="20" t="n">
        <v>248.97</v>
      </c>
      <c r="L396" s="20" t="n">
        <v>25.86</v>
      </c>
      <c r="M396" s="20" t="n">
        <v>0</v>
      </c>
      <c r="N396" s="20">
        <f>K396*0.08+L396*0.08</f>
        <v/>
      </c>
      <c r="O396" s="20">
        <f>-(K396*0.025+L396*0.025)</f>
        <v/>
      </c>
      <c r="P396" s="20">
        <f>32</f>
        <v/>
      </c>
      <c r="Q396" s="20">
        <f>J396+L396+N396+O396-P396-M396</f>
        <v/>
      </c>
    </row>
    <row r="397">
      <c r="A397" s="19" t="inlineStr">
        <is>
          <t>5.29-6.4</t>
        </is>
      </c>
      <c r="B397" s="19" t="inlineStr">
        <is>
          <t>PO-128-02376597041272763</t>
        </is>
      </c>
      <c r="C397" s="19" t="inlineStr">
        <is>
          <t>Delivered</t>
        </is>
      </c>
      <c r="D397" s="19" t="inlineStr">
        <is>
          <t>128-02376649470072763</t>
        </is>
      </c>
      <c r="E397" s="19" t="inlineStr">
        <is>
          <t>Delivered</t>
        </is>
      </c>
      <c r="F397" s="19" t="inlineStr">
        <is>
          <t>BS-01</t>
        </is>
      </c>
      <c r="G39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7" s="19" t="inlineStr">
        <is>
          <t>BS-01</t>
        </is>
      </c>
      <c r="I397" s="19" t="n">
        <v>1</v>
      </c>
      <c r="J397" s="20" t="n">
        <v>215</v>
      </c>
      <c r="K397" s="20" t="n">
        <v>253.6</v>
      </c>
      <c r="L397" s="20" t="n">
        <v>25.86</v>
      </c>
      <c r="M397" s="20" t="n">
        <v>0</v>
      </c>
      <c r="N397" s="20">
        <f>K397*0.08+L397*0.08</f>
        <v/>
      </c>
      <c r="O397" s="20">
        <f>-(K397*0.025+L397*0.025)</f>
        <v/>
      </c>
      <c r="P397" s="20">
        <f>32</f>
        <v/>
      </c>
      <c r="Q397" s="20">
        <f>J397+L397+N397+O397-P397-M397</f>
        <v/>
      </c>
    </row>
    <row r="398">
      <c r="A398" s="19" t="inlineStr">
        <is>
          <t>5.29-6.4</t>
        </is>
      </c>
      <c r="B398" s="19" t="inlineStr">
        <is>
          <t>PO-128-02401902223992674</t>
        </is>
      </c>
      <c r="C398" s="19" t="inlineStr">
        <is>
          <t>Delivered</t>
        </is>
      </c>
      <c r="D398" s="19" t="inlineStr">
        <is>
          <t>128-02401881252472674</t>
        </is>
      </c>
      <c r="E398" s="19" t="inlineStr">
        <is>
          <t>Delivered</t>
        </is>
      </c>
      <c r="F398" s="19" t="inlineStr">
        <is>
          <t>BS-09</t>
        </is>
      </c>
      <c r="G398" s="19" t="inlineStr">
        <is>
          <t>Altavoz de barra para PC con iluminación RGB, sonido de alta fidelidad y múltiples conexiones: Bluetooth, radio FM, USB, TF, AUX y TWS. Ideal para juegos, reuniones y cine en casa.</t>
        </is>
      </c>
      <c r="H398" s="19" t="inlineStr">
        <is>
          <t>NEGRO</t>
        </is>
      </c>
      <c r="I398" s="19" t="n">
        <v>1</v>
      </c>
      <c r="J398" s="20" t="n">
        <v>116</v>
      </c>
      <c r="K398" s="20" t="n">
        <v>144.38</v>
      </c>
      <c r="L398" s="20" t="n">
        <v>25.86</v>
      </c>
      <c r="M398" s="20" t="n">
        <v>0</v>
      </c>
      <c r="N398" s="20">
        <f>K398*0.08+L398*0.08</f>
        <v/>
      </c>
      <c r="O398" s="20">
        <f>-(K398*0.025+L398*0.025)</f>
        <v/>
      </c>
      <c r="P398" s="20">
        <f>32</f>
        <v/>
      </c>
      <c r="Q398" s="20">
        <f>J398+L398+N398+O398-P398-M398</f>
        <v/>
      </c>
    </row>
    <row r="399">
      <c r="A399" s="19" t="inlineStr">
        <is>
          <t>5.29-6.4</t>
        </is>
      </c>
      <c r="B399" s="19" t="inlineStr">
        <is>
          <t>PO-128-02581175588470391</t>
        </is>
      </c>
      <c r="C399" s="19" t="inlineStr">
        <is>
          <t>Delivered</t>
        </is>
      </c>
      <c r="D399" s="19" t="inlineStr">
        <is>
          <t>128-02581194593910391</t>
        </is>
      </c>
      <c r="E399" s="19" t="inlineStr">
        <is>
          <t>Delivered</t>
        </is>
      </c>
      <c r="F399" s="19" t="inlineStr">
        <is>
          <t>BS-01</t>
        </is>
      </c>
      <c r="G39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9" s="19" t="inlineStr">
        <is>
          <t>BS-01</t>
        </is>
      </c>
      <c r="I399" s="19" t="n">
        <v>1</v>
      </c>
      <c r="J399" s="20" t="n">
        <v>215</v>
      </c>
      <c r="K399" s="20" t="n">
        <v>201.42</v>
      </c>
      <c r="L399" s="20" t="n">
        <v>25.86</v>
      </c>
      <c r="M399" s="20" t="n">
        <v>0</v>
      </c>
      <c r="N399" s="20">
        <f>K399*0.08+L399*0.08</f>
        <v/>
      </c>
      <c r="O399" s="20">
        <f>-(K399*0.025+L399*0.025)</f>
        <v/>
      </c>
      <c r="P399" s="20">
        <f>32</f>
        <v/>
      </c>
      <c r="Q399" s="20">
        <f>J399+L399+N399+O399-P399-M399</f>
        <v/>
      </c>
    </row>
    <row r="400">
      <c r="A400" s="19" t="inlineStr">
        <is>
          <t>5.29-6.4</t>
        </is>
      </c>
      <c r="B400" s="19" t="inlineStr">
        <is>
          <t>PO-128-21701075564151242</t>
        </is>
      </c>
      <c r="C400" s="19" t="inlineStr">
        <is>
          <t>Delivered</t>
        </is>
      </c>
      <c r="D400" s="19" t="inlineStr">
        <is>
          <t>128-21701065078391242</t>
        </is>
      </c>
      <c r="E400" s="19" t="inlineStr">
        <is>
          <t>Delivered</t>
        </is>
      </c>
      <c r="F400" s="19" t="inlineStr">
        <is>
          <t>BS-09</t>
        </is>
      </c>
      <c r="G400" s="19" t="inlineStr">
        <is>
          <t>Altavoz de barra para PC con iluminación RGB, sonido de alta fidelidad y múltiples conexiones: Bluetooth, radio FM, USB, TF, AUX y TWS. Ideal para juegos, reuniones y cine en casa.</t>
        </is>
      </c>
      <c r="H400" s="19" t="inlineStr">
        <is>
          <t>NEGRO</t>
        </is>
      </c>
      <c r="I400" s="19" t="n">
        <v>1</v>
      </c>
      <c r="J400" s="20" t="n">
        <v>116</v>
      </c>
      <c r="K400" s="20" t="n">
        <v>144.38</v>
      </c>
      <c r="L400" s="20" t="n">
        <v>25.86</v>
      </c>
      <c r="M400" s="20" t="n">
        <v>0</v>
      </c>
      <c r="N400" s="20">
        <f>K400*0.08+L400*0.08</f>
        <v/>
      </c>
      <c r="O400" s="20">
        <f>-(K400*0.025+L400*0.025)</f>
        <v/>
      </c>
      <c r="P400" s="20">
        <f>32</f>
        <v/>
      </c>
      <c r="Q400" s="20">
        <f>J400+L400+N400+O400-P400-M400</f>
        <v/>
      </c>
    </row>
    <row r="401">
      <c r="A401" s="19" t="inlineStr">
        <is>
          <t>5.29-6.4</t>
        </is>
      </c>
      <c r="B401" s="19" t="inlineStr">
        <is>
          <t>PO-128-21843507451510267</t>
        </is>
      </c>
      <c r="C401" s="19" t="inlineStr">
        <is>
          <t>Delivered</t>
        </is>
      </c>
      <c r="D401" s="19" t="inlineStr">
        <is>
          <t>128-21843496965750267</t>
        </is>
      </c>
      <c r="E401" s="19" t="inlineStr">
        <is>
          <t>Delivered</t>
        </is>
      </c>
      <c r="F401" s="19" t="inlineStr">
        <is>
          <t>BS-01</t>
        </is>
      </c>
      <c r="G40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1" s="19" t="inlineStr">
        <is>
          <t>BS-01</t>
        </is>
      </c>
      <c r="I401" s="19" t="n">
        <v>1</v>
      </c>
      <c r="J401" s="20" t="n">
        <v>215</v>
      </c>
      <c r="K401" s="20" t="n">
        <v>249.71</v>
      </c>
      <c r="L401" s="20" t="n">
        <v>25.86</v>
      </c>
      <c r="M401" s="20" t="n">
        <v>0</v>
      </c>
      <c r="N401" s="20">
        <f>K401*0.08+L401*0.08</f>
        <v/>
      </c>
      <c r="O401" s="20">
        <f>-(K401*0.025+L401*0.025)</f>
        <v/>
      </c>
      <c r="P401" s="20">
        <f>32</f>
        <v/>
      </c>
      <c r="Q401" s="20">
        <f>J401+L401+N401+O401-P401-M401</f>
        <v/>
      </c>
    </row>
    <row r="402">
      <c r="A402" s="19" t="inlineStr">
        <is>
          <t>5.29-6.4</t>
        </is>
      </c>
      <c r="B402" s="19" t="inlineStr">
        <is>
          <t>PO-128-21608031427192695</t>
        </is>
      </c>
      <c r="C402" s="19" t="inlineStr">
        <is>
          <t>Delivered</t>
        </is>
      </c>
      <c r="D402" s="19" t="inlineStr">
        <is>
          <t>128-21608034048632695</t>
        </is>
      </c>
      <c r="E402" s="19" t="inlineStr">
        <is>
          <t>Delivered</t>
        </is>
      </c>
      <c r="F402" s="19" t="inlineStr">
        <is>
          <t>BS-01</t>
        </is>
      </c>
      <c r="G40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2" s="19" t="inlineStr">
        <is>
          <t>BS-01</t>
        </is>
      </c>
      <c r="I402" s="19" t="n">
        <v>1</v>
      </c>
      <c r="J402" s="20" t="n">
        <v>215</v>
      </c>
      <c r="K402" s="20" t="n">
        <v>253.6</v>
      </c>
      <c r="L402" s="20" t="n">
        <v>0</v>
      </c>
      <c r="M402" s="20" t="n">
        <v>0</v>
      </c>
      <c r="N402" s="20">
        <f>K402*0.08+L402*0.08</f>
        <v/>
      </c>
      <c r="O402" s="20">
        <f>-(K402*0.025+L402*0.025)</f>
        <v/>
      </c>
      <c r="P402" s="20">
        <f>32</f>
        <v/>
      </c>
      <c r="Q402" s="20">
        <f>J402+L402+N402+O402-P402-M402</f>
        <v/>
      </c>
    </row>
    <row r="403">
      <c r="A403" s="19" t="inlineStr">
        <is>
          <t>5.29-6.4</t>
        </is>
      </c>
      <c r="B403" s="19" t="inlineStr">
        <is>
          <t>PO-128-21608031427192695</t>
        </is>
      </c>
      <c r="C403" s="19" t="inlineStr">
        <is>
          <t>Delivered</t>
        </is>
      </c>
      <c r="D403" s="19" t="inlineStr">
        <is>
          <t>128-21608044534392695</t>
        </is>
      </c>
      <c r="E403" s="19" t="inlineStr">
        <is>
          <t>Delivered</t>
        </is>
      </c>
      <c r="F403" s="19" t="inlineStr">
        <is>
          <t>BS-09</t>
        </is>
      </c>
      <c r="G403" s="19" t="inlineStr">
        <is>
          <t>Altavoz de barra para PC con iluminación RGB, sonido de alta fidelidad y múltiples conexiones: Bluetooth, radio FM, USB, TF, AUX y TWS. Ideal para juegos, reuniones y cine en casa.</t>
        </is>
      </c>
      <c r="H403" s="19" t="inlineStr">
        <is>
          <t>NEGRO</t>
        </is>
      </c>
      <c r="I403" s="19" t="n">
        <v>1</v>
      </c>
      <c r="J403" s="20" t="n">
        <v>116</v>
      </c>
      <c r="K403" s="20" t="n">
        <v>144.38</v>
      </c>
      <c r="L403" s="20" t="n">
        <v>0</v>
      </c>
      <c r="M403" s="20" t="n">
        <v>0</v>
      </c>
      <c r="N403" s="20">
        <f>K403*0.08+L403*0.08</f>
        <v/>
      </c>
      <c r="O403" s="20">
        <f>-(K403*0.025+L403*0.025)</f>
        <v/>
      </c>
      <c r="P403" s="20">
        <f>32</f>
        <v/>
      </c>
      <c r="Q403" s="20">
        <f>J403+L403+N403+O403-P403-M403</f>
        <v/>
      </c>
    </row>
    <row r="404">
      <c r="A404" s="19" t="inlineStr">
        <is>
          <t>5.29-6.4</t>
        </is>
      </c>
      <c r="B404" s="19" t="inlineStr">
        <is>
          <t>PO-128-21885620270710014</t>
        </is>
      </c>
      <c r="C404" s="19" t="inlineStr">
        <is>
          <t>Delivered</t>
        </is>
      </c>
      <c r="D404" s="19" t="inlineStr">
        <is>
          <t>128-21885599299190014</t>
        </is>
      </c>
      <c r="E404" s="19" t="inlineStr">
        <is>
          <t>Delivered</t>
        </is>
      </c>
      <c r="F404" s="19" t="inlineStr">
        <is>
          <t>BS-01</t>
        </is>
      </c>
      <c r="G40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4" s="19" t="inlineStr">
        <is>
          <t>BS-01</t>
        </is>
      </c>
      <c r="I404" s="19" t="n">
        <v>1</v>
      </c>
      <c r="J404" s="20" t="n">
        <v>215</v>
      </c>
      <c r="K404" s="20" t="n">
        <v>253.6</v>
      </c>
      <c r="L404" s="20" t="n">
        <v>25.86</v>
      </c>
      <c r="M404" s="20" t="n">
        <v>0</v>
      </c>
      <c r="N404" s="20">
        <f>K404*0.08+L404*0.08</f>
        <v/>
      </c>
      <c r="O404" s="20">
        <f>-(K404*0.025+L404*0.025)</f>
        <v/>
      </c>
      <c r="P404" s="20">
        <f>32</f>
        <v/>
      </c>
      <c r="Q404" s="20">
        <f>J404+L404+N404+O404-P404-M404</f>
        <v/>
      </c>
    </row>
    <row r="405">
      <c r="A405" s="19" t="inlineStr">
        <is>
          <t>5.29-6.4</t>
        </is>
      </c>
      <c r="B405" s="19" t="inlineStr">
        <is>
          <t>PO-128-21662170650231474</t>
        </is>
      </c>
      <c r="C405" s="19" t="inlineStr">
        <is>
          <t>Delivered</t>
        </is>
      </c>
      <c r="D405" s="19" t="inlineStr">
        <is>
          <t>128-21662223079031474</t>
        </is>
      </c>
      <c r="E405" s="19" t="inlineStr">
        <is>
          <t>Delivered</t>
        </is>
      </c>
      <c r="F405" s="19" t="inlineStr">
        <is>
          <t>BS-01</t>
        </is>
      </c>
      <c r="G40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5" s="19" t="inlineStr">
        <is>
          <t>BS-01</t>
        </is>
      </c>
      <c r="I405" s="19" t="n">
        <v>1</v>
      </c>
      <c r="J405" s="20" t="n">
        <v>215</v>
      </c>
      <c r="K405" s="20" t="n">
        <v>253.6</v>
      </c>
      <c r="L405" s="20" t="n">
        <v>25.86</v>
      </c>
      <c r="M405" s="20" t="n">
        <v>0</v>
      </c>
      <c r="N405" s="20">
        <f>K405*0.08+L405*0.08</f>
        <v/>
      </c>
      <c r="O405" s="20">
        <f>-(K405*0.025+L405*0.025)</f>
        <v/>
      </c>
      <c r="P405" s="20">
        <f>32</f>
        <v/>
      </c>
      <c r="Q405" s="20">
        <f>J405+L405+N405+O405-P405-M405</f>
        <v/>
      </c>
    </row>
    <row r="406">
      <c r="A406" s="19" t="inlineStr">
        <is>
          <t>5.29-6.4</t>
        </is>
      </c>
      <c r="B406" s="19" t="inlineStr">
        <is>
          <t>PO-128-21461999370873629</t>
        </is>
      </c>
      <c r="C406" s="19" t="inlineStr">
        <is>
          <t>Delivered</t>
        </is>
      </c>
      <c r="D406" s="19" t="inlineStr">
        <is>
          <t>128-21461978399353629</t>
        </is>
      </c>
      <c r="E406" s="19" t="inlineStr">
        <is>
          <t>Delivered</t>
        </is>
      </c>
      <c r="F406" s="19" t="inlineStr">
        <is>
          <t>BS-09</t>
        </is>
      </c>
      <c r="G406" s="19" t="inlineStr">
        <is>
          <t>Altavoz de barra para PC con iluminación RGB, sonido de alta fidelidad y múltiples conexiones: Bluetooth, radio FM, USB, TF, AUX y TWS. Ideal para juegos, reuniones y cine en casa.</t>
        </is>
      </c>
      <c r="H406" s="19" t="inlineStr">
        <is>
          <t>NEGRO</t>
        </is>
      </c>
      <c r="I406" s="19" t="n">
        <v>1</v>
      </c>
      <c r="J406" s="20" t="n">
        <v>116</v>
      </c>
      <c r="K406" s="20" t="n">
        <v>144.38</v>
      </c>
      <c r="L406" s="20" t="n">
        <v>25.86</v>
      </c>
      <c r="M406" s="20" t="n">
        <v>0</v>
      </c>
      <c r="N406" s="20">
        <f>K406*0.08+L406*0.08</f>
        <v/>
      </c>
      <c r="O406" s="20">
        <f>-(K406*0.025+L406*0.025)</f>
        <v/>
      </c>
      <c r="P406" s="20">
        <f>32</f>
        <v/>
      </c>
      <c r="Q406" s="20">
        <f>J406+L406+N406+O406-P406-M406</f>
        <v/>
      </c>
    </row>
    <row r="407">
      <c r="A407" s="19" t="inlineStr">
        <is>
          <t>5.29-6.4</t>
        </is>
      </c>
      <c r="B407" s="19" t="inlineStr">
        <is>
          <t>PO-128-21681075589751363</t>
        </is>
      </c>
      <c r="C407" s="19" t="inlineStr">
        <is>
          <t>Delivered</t>
        </is>
      </c>
      <c r="D407" s="19" t="inlineStr">
        <is>
          <t>128-21681046753911363</t>
        </is>
      </c>
      <c r="E407" s="19" t="inlineStr">
        <is>
          <t>Delivered</t>
        </is>
      </c>
      <c r="F407" s="19" t="inlineStr">
        <is>
          <t>IE01MB</t>
        </is>
      </c>
      <c r="G407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07" s="19" t="inlineStr">
        <is>
          <t>1 pieza</t>
        </is>
      </c>
      <c r="I407" s="19" t="n">
        <v>1</v>
      </c>
      <c r="J407" s="20" t="n">
        <v>17.4</v>
      </c>
      <c r="K407" s="20" t="n">
        <v>21.56</v>
      </c>
      <c r="L407" s="20" t="n">
        <v>25.86</v>
      </c>
      <c r="M407" s="20" t="n">
        <v>0</v>
      </c>
      <c r="N407" s="20">
        <f>K407*0.08+L407*0.08</f>
        <v/>
      </c>
      <c r="O407" s="20">
        <f>-(K407*0.025+L407*0.025)</f>
        <v/>
      </c>
      <c r="P407" s="20">
        <f>32</f>
        <v/>
      </c>
      <c r="Q407" s="20">
        <f>J407+L407+N407+O407-P407-M407</f>
        <v/>
      </c>
    </row>
    <row r="408">
      <c r="A408" s="19" t="inlineStr">
        <is>
          <t>5.29-6.4</t>
        </is>
      </c>
      <c r="B408" s="19" t="inlineStr">
        <is>
          <t>PO-128-21383717427833198</t>
        </is>
      </c>
      <c r="C408" s="19" t="inlineStr">
        <is>
          <t>Delivered</t>
        </is>
      </c>
      <c r="D408" s="19" t="inlineStr">
        <is>
          <t>128-21383675484793198</t>
        </is>
      </c>
      <c r="E408" s="19" t="inlineStr">
        <is>
          <t>Delivered</t>
        </is>
      </c>
      <c r="F408" s="19" t="inlineStr">
        <is>
          <t>BS-01</t>
        </is>
      </c>
      <c r="G40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8" s="19" t="inlineStr">
        <is>
          <t>BS-01</t>
        </is>
      </c>
      <c r="I408" s="19" t="n">
        <v>1</v>
      </c>
      <c r="J408" s="20" t="n">
        <v>215</v>
      </c>
      <c r="K408" s="20" t="n">
        <v>202.88</v>
      </c>
      <c r="L408" s="20" t="n">
        <v>25.86</v>
      </c>
      <c r="M408" s="20" t="n">
        <v>0</v>
      </c>
      <c r="N408" s="20">
        <f>K408*0.08+L408*0.08</f>
        <v/>
      </c>
      <c r="O408" s="20">
        <f>-(K408*0.025+L408*0.025)</f>
        <v/>
      </c>
      <c r="P408" s="20">
        <f>32</f>
        <v/>
      </c>
      <c r="Q408" s="20">
        <f>J408+L408+N408+O408-P408-M408</f>
        <v/>
      </c>
    </row>
    <row r="409">
      <c r="A409" s="19" t="inlineStr">
        <is>
          <t>5.29-6.4</t>
        </is>
      </c>
      <c r="B409" s="19" t="inlineStr">
        <is>
          <t>PO-128-21352286802553259</t>
        </is>
      </c>
      <c r="C409" s="19" t="inlineStr">
        <is>
          <t>Delivered</t>
        </is>
      </c>
      <c r="D409" s="19" t="inlineStr">
        <is>
          <t>128-21352354959993259</t>
        </is>
      </c>
      <c r="E409" s="19" t="inlineStr">
        <is>
          <t>Delivered</t>
        </is>
      </c>
      <c r="F409" s="19" t="inlineStr">
        <is>
          <t>IE01MB</t>
        </is>
      </c>
      <c r="G409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09" s="19" t="inlineStr">
        <is>
          <t>1 pieza</t>
        </is>
      </c>
      <c r="I409" s="19" t="n">
        <v>1</v>
      </c>
      <c r="J409" s="20" t="n">
        <v>22</v>
      </c>
      <c r="K409" s="20" t="n">
        <v>21.92</v>
      </c>
      <c r="L409" s="20" t="n">
        <v>25.86</v>
      </c>
      <c r="M409" s="20" t="n">
        <v>0</v>
      </c>
      <c r="N409" s="20">
        <f>K409*0.08+L409*0.08</f>
        <v/>
      </c>
      <c r="O409" s="20">
        <f>-(K409*0.025+L409*0.025)</f>
        <v/>
      </c>
      <c r="P409" s="20">
        <f>32</f>
        <v/>
      </c>
      <c r="Q409" s="20">
        <f>J409+L409+N409+O409-P409-M409</f>
        <v/>
      </c>
    </row>
    <row r="410">
      <c r="A410" s="19" t="inlineStr">
        <is>
          <t>5.29-6.4</t>
        </is>
      </c>
      <c r="B410" s="19" t="inlineStr">
        <is>
          <t>PO-128-21896641229430076</t>
        </is>
      </c>
      <c r="C410" s="19" t="inlineStr">
        <is>
          <t>Delivered</t>
        </is>
      </c>
      <c r="D410" s="19" t="inlineStr">
        <is>
          <t>128-21896746087030076</t>
        </is>
      </c>
      <c r="E410" s="19" t="inlineStr">
        <is>
          <t>Delivered</t>
        </is>
      </c>
      <c r="F410" s="19" t="inlineStr">
        <is>
          <t>BS-01</t>
        </is>
      </c>
      <c r="G41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0" s="19" t="inlineStr">
        <is>
          <t>BS-01</t>
        </is>
      </c>
      <c r="I410" s="19" t="n">
        <v>1</v>
      </c>
      <c r="J410" s="20" t="n">
        <v>219</v>
      </c>
      <c r="K410" s="20" t="n">
        <v>257.6</v>
      </c>
      <c r="L410" s="20" t="n">
        <v>25.86</v>
      </c>
      <c r="M410" s="20" t="n">
        <v>0</v>
      </c>
      <c r="N410" s="20">
        <f>K410*0.08+L410*0.08</f>
        <v/>
      </c>
      <c r="O410" s="20">
        <f>-(K410*0.025+L410*0.025)</f>
        <v/>
      </c>
      <c r="P410" s="20">
        <f>32</f>
        <v/>
      </c>
      <c r="Q410" s="20">
        <f>J410+L410+N410+O410-P410-M410</f>
        <v/>
      </c>
    </row>
    <row r="411">
      <c r="A411" s="19" t="inlineStr">
        <is>
          <t>5.29-6.4</t>
        </is>
      </c>
      <c r="B411" s="19" t="inlineStr">
        <is>
          <t>PO-128-21579986248313052</t>
        </is>
      </c>
      <c r="C411" s="19" t="inlineStr">
        <is>
          <t>Delivered</t>
        </is>
      </c>
      <c r="D411" s="19" t="inlineStr">
        <is>
          <t>128-21580007219833052</t>
        </is>
      </c>
      <c r="E411" s="19" t="inlineStr">
        <is>
          <t>Delivered</t>
        </is>
      </c>
      <c r="F411" s="19" t="inlineStr">
        <is>
          <t>BS-01</t>
        </is>
      </c>
      <c r="G41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1" s="19" t="inlineStr">
        <is>
          <t>BS-01</t>
        </is>
      </c>
      <c r="I411" s="19" t="n">
        <v>1</v>
      </c>
      <c r="J411" s="20" t="n">
        <v>219</v>
      </c>
      <c r="K411" s="20" t="n">
        <v>257.6</v>
      </c>
      <c r="L411" s="20" t="n">
        <v>25.86</v>
      </c>
      <c r="M411" s="20" t="n">
        <v>0</v>
      </c>
      <c r="N411" s="20">
        <f>K411*0.08+L411*0.08</f>
        <v/>
      </c>
      <c r="O411" s="20">
        <f>-(K411*0.025+L411*0.025)</f>
        <v/>
      </c>
      <c r="P411" s="20">
        <f>32</f>
        <v/>
      </c>
      <c r="Q411" s="20">
        <f>J411+L411+N411+O411-P411-M411</f>
        <v/>
      </c>
    </row>
    <row r="412">
      <c r="A412" s="19" t="inlineStr">
        <is>
          <t>5.29-6.4</t>
        </is>
      </c>
      <c r="B412" s="19" t="inlineStr">
        <is>
          <t>PO-128-21496779879032332</t>
        </is>
      </c>
      <c r="C412" s="19" t="inlineStr">
        <is>
          <t>Delivered</t>
        </is>
      </c>
      <c r="D412" s="19" t="inlineStr">
        <is>
          <t>128-21496785121912332</t>
        </is>
      </c>
      <c r="E412" s="19" t="inlineStr">
        <is>
          <t>Delivered</t>
        </is>
      </c>
      <c r="F412" s="19" t="inlineStr">
        <is>
          <t>IE01MB</t>
        </is>
      </c>
      <c r="G412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12" s="19" t="inlineStr">
        <is>
          <t>1 pieza</t>
        </is>
      </c>
      <c r="I412" s="19" t="n">
        <v>1</v>
      </c>
      <c r="J412" s="20" t="n">
        <v>22</v>
      </c>
      <c r="K412" s="20" t="n">
        <v>27.89</v>
      </c>
      <c r="L412" s="20" t="n">
        <v>25.86</v>
      </c>
      <c r="M412" s="20" t="n">
        <v>0</v>
      </c>
      <c r="N412" s="20">
        <f>K412*0.08+L412*0.08</f>
        <v/>
      </c>
      <c r="O412" s="20">
        <f>-(K412*0.025+L412*0.025)</f>
        <v/>
      </c>
      <c r="P412" s="20">
        <f>32</f>
        <v/>
      </c>
      <c r="Q412" s="20">
        <f>J412+L412+N412+O412-P412-M412</f>
        <v/>
      </c>
    </row>
    <row r="413">
      <c r="A413" s="19" t="inlineStr">
        <is>
          <t>5.29-6.4</t>
        </is>
      </c>
      <c r="B413" s="19" t="inlineStr">
        <is>
          <t>PO-128-10775008824951918</t>
        </is>
      </c>
      <c r="C413" s="19" t="inlineStr">
        <is>
          <t>Delivered</t>
        </is>
      </c>
      <c r="D413" s="19" t="inlineStr">
        <is>
          <t>128-10775035039351918</t>
        </is>
      </c>
      <c r="E413" s="19" t="inlineStr">
        <is>
          <t>Delivered</t>
        </is>
      </c>
      <c r="F413" s="19" t="inlineStr">
        <is>
          <t>BS-09</t>
        </is>
      </c>
      <c r="G413" s="19" t="inlineStr">
        <is>
          <t>Altavoz de barra para PC con iluminación RGB, sonido de alta fidelidad y múltiples conexiones: Bluetooth, radio FM, USB, TF, AUX y TWS. Ideal para juegos, reuniones y cine en casa.</t>
        </is>
      </c>
      <c r="H413" s="19" t="inlineStr">
        <is>
          <t>NEGRO</t>
        </is>
      </c>
      <c r="I413" s="19" t="n">
        <v>1</v>
      </c>
      <c r="J413" s="20" t="n">
        <v>117.99</v>
      </c>
      <c r="K413" s="20" t="n">
        <v>117.09</v>
      </c>
      <c r="L413" s="20" t="n">
        <v>25.86</v>
      </c>
      <c r="M413" s="20" t="n">
        <v>0</v>
      </c>
      <c r="N413" s="20">
        <f>K413*0.08+L413*0.08</f>
        <v/>
      </c>
      <c r="O413" s="20">
        <f>-(K413*0.025+L413*0.025)</f>
        <v/>
      </c>
      <c r="P413" s="20">
        <f>32</f>
        <v/>
      </c>
      <c r="Q413" s="20">
        <f>J413+L413+N413+O413-P413-M413</f>
        <v/>
      </c>
    </row>
    <row r="414">
      <c r="A414" s="19" t="inlineStr">
        <is>
          <t>5.29-6.4</t>
        </is>
      </c>
      <c r="B414" s="19" t="inlineStr">
        <is>
          <t>PO-128-10949434727030881</t>
        </is>
      </c>
      <c r="C414" s="19" t="inlineStr">
        <is>
          <t>Delivered</t>
        </is>
      </c>
      <c r="D414" s="19" t="inlineStr">
        <is>
          <t>128-10949353462390881</t>
        </is>
      </c>
      <c r="E414" s="19" t="inlineStr">
        <is>
          <t>Delivered</t>
        </is>
      </c>
      <c r="F414" s="19" t="inlineStr">
        <is>
          <t>BS-01</t>
        </is>
      </c>
      <c r="G41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4" s="19" t="inlineStr">
        <is>
          <t>BS-01</t>
        </is>
      </c>
      <c r="I414" s="19" t="n">
        <v>1</v>
      </c>
      <c r="J414" s="20" t="n">
        <v>219</v>
      </c>
      <c r="K414" s="20" t="n">
        <v>257.6</v>
      </c>
      <c r="L414" s="20" t="n">
        <v>25.86</v>
      </c>
      <c r="M414" s="20" t="n">
        <v>0</v>
      </c>
      <c r="N414" s="20">
        <f>K414*0.08+L414*0.08</f>
        <v/>
      </c>
      <c r="O414" s="20">
        <f>-(K414*0.025+L414*0.025)</f>
        <v/>
      </c>
      <c r="P414" s="20">
        <f>32</f>
        <v/>
      </c>
      <c r="Q414" s="20">
        <f>J414+L414+N414+O414-P414-M414</f>
        <v/>
      </c>
    </row>
    <row r="415">
      <c r="A415" s="19" t="inlineStr">
        <is>
          <t>5.29-6.4</t>
        </is>
      </c>
      <c r="B415" s="19" t="inlineStr">
        <is>
          <t>PO-128-10902207283830072</t>
        </is>
      </c>
      <c r="C415" s="19" t="inlineStr">
        <is>
          <t>Delivered</t>
        </is>
      </c>
      <c r="D415" s="19" t="inlineStr">
        <is>
          <t>128-10902312141430072</t>
        </is>
      </c>
      <c r="E415" s="19" t="inlineStr">
        <is>
          <t>Delivered</t>
        </is>
      </c>
      <c r="F415" s="19" t="inlineStr">
        <is>
          <t>BS-01</t>
        </is>
      </c>
      <c r="G41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5" s="19" t="inlineStr">
        <is>
          <t>BS-01</t>
        </is>
      </c>
      <c r="I415" s="19" t="n">
        <v>1</v>
      </c>
      <c r="J415" s="20" t="n">
        <v>219</v>
      </c>
      <c r="K415" s="20" t="n">
        <v>257.6</v>
      </c>
      <c r="L415" s="20" t="n">
        <v>25.86</v>
      </c>
      <c r="M415" s="20" t="n">
        <v>0</v>
      </c>
      <c r="N415" s="20">
        <f>K415*0.08+L415*0.08</f>
        <v/>
      </c>
      <c r="O415" s="20">
        <f>-(K415*0.025+L415*0.025)</f>
        <v/>
      </c>
      <c r="P415" s="20">
        <f>32</f>
        <v/>
      </c>
      <c r="Q415" s="20">
        <f>J415+L415+N415+O415-P415-M415</f>
        <v/>
      </c>
    </row>
    <row r="416">
      <c r="A416" s="19" t="inlineStr">
        <is>
          <t>5.29-6.4</t>
        </is>
      </c>
      <c r="B416" s="19" t="inlineStr">
        <is>
          <t>PO-128-10557664302712126</t>
        </is>
      </c>
      <c r="C416" s="19" t="inlineStr">
        <is>
          <t>Delivered</t>
        </is>
      </c>
      <c r="D416" s="19" t="inlineStr">
        <is>
          <t>128-10557716731512126</t>
        </is>
      </c>
      <c r="E416" s="19" t="inlineStr">
        <is>
          <t>Delivered</t>
        </is>
      </c>
      <c r="F416" s="19" t="inlineStr">
        <is>
          <t>BS-01</t>
        </is>
      </c>
      <c r="G41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6" s="19" t="inlineStr">
        <is>
          <t>BS-01</t>
        </is>
      </c>
      <c r="I416" s="19" t="n">
        <v>1</v>
      </c>
      <c r="J416" s="20" t="n">
        <v>219</v>
      </c>
      <c r="K416" s="20" t="n">
        <v>257.6</v>
      </c>
      <c r="L416" s="20" t="n">
        <v>25.86</v>
      </c>
      <c r="M416" s="20" t="n">
        <v>0</v>
      </c>
      <c r="N416" s="20">
        <f>K416*0.08+L416*0.08</f>
        <v/>
      </c>
      <c r="O416" s="20">
        <f>-(K416*0.025+L416*0.025)</f>
        <v/>
      </c>
      <c r="P416" s="20">
        <f>32</f>
        <v/>
      </c>
      <c r="Q416" s="20">
        <f>J416+L416+N416+O416-P416-M416</f>
        <v/>
      </c>
    </row>
    <row r="417">
      <c r="A417" s="19" t="inlineStr">
        <is>
          <t>5.29-6.4</t>
        </is>
      </c>
      <c r="B417" s="19" t="inlineStr">
        <is>
          <t>PO-128-10906656676470110</t>
        </is>
      </c>
      <c r="C417" s="19" t="inlineStr">
        <is>
          <t>Delivered</t>
        </is>
      </c>
      <c r="D417" s="19" t="inlineStr">
        <is>
          <t>128-10906677647990110</t>
        </is>
      </c>
      <c r="E417" s="19" t="inlineStr">
        <is>
          <t>Delivered</t>
        </is>
      </c>
      <c r="F417" s="19" t="inlineStr">
        <is>
          <t>BS-09</t>
        </is>
      </c>
      <c r="G417" s="19" t="inlineStr">
        <is>
          <t>Altavoz de barra para PC con iluminación RGB, sonido de alta fidelidad y múltiples conexiones: Bluetooth, radio FM, USB, TF, AUX y TWS. Ideal para juegos, reuniones y cine en casa.</t>
        </is>
      </c>
      <c r="H417" s="19" t="inlineStr">
        <is>
          <t>NEGRO</t>
        </is>
      </c>
      <c r="I417" s="19" t="n">
        <v>1</v>
      </c>
      <c r="J417" s="20" t="n">
        <v>117.99</v>
      </c>
      <c r="K417" s="20" t="n">
        <v>146.36</v>
      </c>
      <c r="L417" s="20" t="n">
        <v>25.86</v>
      </c>
      <c r="M417" s="20" t="n">
        <v>0</v>
      </c>
      <c r="N417" s="20">
        <f>K417*0.08+L417*0.08</f>
        <v/>
      </c>
      <c r="O417" s="20">
        <f>-(K417*0.025+L417*0.025)</f>
        <v/>
      </c>
      <c r="P417" s="20">
        <f>32</f>
        <v/>
      </c>
      <c r="Q417" s="20">
        <f>J417+L417+N417+O417-P417-M417</f>
        <v/>
      </c>
    </row>
    <row r="418">
      <c r="A418" s="19" t="inlineStr">
        <is>
          <t>5.29-6.4</t>
        </is>
      </c>
      <c r="B418" s="19" t="inlineStr">
        <is>
          <t>PO-128-10863694817910366</t>
        </is>
      </c>
      <c r="C418" s="19" t="inlineStr">
        <is>
          <t>Delivered</t>
        </is>
      </c>
      <c r="D418" s="19" t="inlineStr">
        <is>
          <t>128-10863715789430366</t>
        </is>
      </c>
      <c r="E418" s="19" t="inlineStr">
        <is>
          <t>Delivered</t>
        </is>
      </c>
      <c r="F418" s="19" t="inlineStr">
        <is>
          <t>BS-01</t>
        </is>
      </c>
      <c r="G41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8" s="19" t="inlineStr">
        <is>
          <t>BS-01</t>
        </is>
      </c>
      <c r="I418" s="19" t="n">
        <v>1</v>
      </c>
      <c r="J418" s="20" t="n">
        <v>219</v>
      </c>
      <c r="K418" s="20" t="n">
        <v>257.6</v>
      </c>
      <c r="L418" s="20" t="n">
        <v>0</v>
      </c>
      <c r="M418" s="20" t="n">
        <v>257.6</v>
      </c>
      <c r="N418" s="20">
        <f>K418*0.08+L418*0.08</f>
        <v/>
      </c>
      <c r="O418" s="20">
        <f>-(K418*0.025+L418*0.025)</f>
        <v/>
      </c>
      <c r="P418" s="20">
        <f>32</f>
        <v/>
      </c>
      <c r="Q418" s="20">
        <f>J418+L418+N418+O418-P418-M418</f>
        <v/>
      </c>
    </row>
    <row r="419">
      <c r="A419" s="19" t="inlineStr">
        <is>
          <t>5.29-6.4</t>
        </is>
      </c>
      <c r="B419" s="19" t="inlineStr">
        <is>
          <t>PO-128-10436334951033939</t>
        </is>
      </c>
      <c r="C419" s="19" t="inlineStr">
        <is>
          <t>Delivered</t>
        </is>
      </c>
      <c r="D419" s="19" t="inlineStr">
        <is>
          <t>128-10436295629433939</t>
        </is>
      </c>
      <c r="E419" s="19" t="inlineStr">
        <is>
          <t>Delivered</t>
        </is>
      </c>
      <c r="F419" s="19" t="inlineStr">
        <is>
          <t>BS-01</t>
        </is>
      </c>
      <c r="G41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9" s="19" t="inlineStr">
        <is>
          <t>BS-01</t>
        </is>
      </c>
      <c r="I419" s="19" t="n">
        <v>1</v>
      </c>
      <c r="J419" s="20" t="n">
        <v>219</v>
      </c>
      <c r="K419" s="20" t="n">
        <v>206.08</v>
      </c>
      <c r="L419" s="20" t="n">
        <v>25.86</v>
      </c>
      <c r="M419" s="20" t="n">
        <v>0</v>
      </c>
      <c r="N419" s="20">
        <f>K419*0.08+L419*0.08</f>
        <v/>
      </c>
      <c r="O419" s="20">
        <f>-(K419*0.025+L419*0.025)</f>
        <v/>
      </c>
      <c r="P419" s="20">
        <f>32</f>
        <v/>
      </c>
      <c r="Q419" s="20">
        <f>J419+L419+N419+O419-P419-M419</f>
        <v/>
      </c>
    </row>
    <row r="420">
      <c r="A420" s="19" t="inlineStr">
        <is>
          <t>5.8-5.14</t>
        </is>
      </c>
      <c r="B420" s="19" t="inlineStr">
        <is>
          <t>PO-128-21082426261111859</t>
        </is>
      </c>
      <c r="C420" s="19" t="inlineStr">
        <is>
          <t>Shipped</t>
        </is>
      </c>
      <c r="D420" s="19" t="inlineStr">
        <is>
          <t>128-21082494418551859</t>
        </is>
      </c>
      <c r="E420" s="19" t="inlineStr">
        <is>
          <t>Shipped</t>
        </is>
      </c>
      <c r="F420" s="19" t="inlineStr">
        <is>
          <t>BS-01</t>
        </is>
      </c>
      <c r="G42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0" s="19" t="inlineStr">
        <is>
          <t>BS-01</t>
        </is>
      </c>
      <c r="I420" s="19" t="n">
        <v>1</v>
      </c>
      <c r="J420" s="20" t="n">
        <v>219</v>
      </c>
      <c r="K420" s="20" t="n">
        <v>257.61</v>
      </c>
      <c r="L420" s="20" t="n">
        <v>25.86</v>
      </c>
      <c r="M420" s="20" t="n">
        <v>0</v>
      </c>
      <c r="N420" s="20">
        <f>K420*0.08+L420*0.08</f>
        <v/>
      </c>
      <c r="O420" s="20">
        <f>-(K420*0.025+L420*0.025)</f>
        <v/>
      </c>
      <c r="P420" s="20">
        <f>32</f>
        <v/>
      </c>
      <c r="Q420" s="20">
        <f>J420+L420+N420+O420-P420-M420</f>
        <v/>
      </c>
    </row>
    <row r="421">
      <c r="A421" s="19" t="inlineStr">
        <is>
          <t>5.8-5.14</t>
        </is>
      </c>
      <c r="B421" s="19" t="inlineStr">
        <is>
          <t>PO-128-21040896410231147</t>
        </is>
      </c>
      <c r="C421" s="19" t="inlineStr">
        <is>
          <t>Shipped</t>
        </is>
      </c>
      <c r="D421" s="19" t="inlineStr">
        <is>
          <t>128-21040972431991147</t>
        </is>
      </c>
      <c r="E421" s="19" t="inlineStr">
        <is>
          <t>Shipped</t>
        </is>
      </c>
      <c r="F421" s="19" t="inlineStr">
        <is>
          <t>BS-01</t>
        </is>
      </c>
      <c r="G42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1" s="19" t="inlineStr">
        <is>
          <t>BS-01</t>
        </is>
      </c>
      <c r="I421" s="19" t="n">
        <v>1</v>
      </c>
      <c r="J421" s="20" t="n">
        <v>219</v>
      </c>
      <c r="K421" s="20" t="n">
        <v>257.61</v>
      </c>
      <c r="L421" s="20" t="n">
        <v>25.86</v>
      </c>
      <c r="M421" s="20" t="n">
        <v>0</v>
      </c>
      <c r="N421" s="20">
        <f>K421*0.08+L421*0.08</f>
        <v/>
      </c>
      <c r="O421" s="20">
        <f>-(K421*0.025+L421*0.025)</f>
        <v/>
      </c>
      <c r="P421" s="20">
        <f>32</f>
        <v/>
      </c>
      <c r="Q421" s="20">
        <f>J421+L421+N421+O421-P421-M421</f>
        <v/>
      </c>
    </row>
    <row r="422">
      <c r="A422" s="19" t="inlineStr">
        <is>
          <t>5.8-5.14</t>
        </is>
      </c>
      <c r="B422" s="19" t="inlineStr">
        <is>
          <t>PO-128-20743188501113945</t>
        </is>
      </c>
      <c r="C422" s="19" t="inlineStr">
        <is>
          <t>Shipped</t>
        </is>
      </c>
      <c r="D422" s="19" t="inlineStr">
        <is>
          <t>128-20743256658553945</t>
        </is>
      </c>
      <c r="E422" s="19" t="inlineStr">
        <is>
          <t>Shipped</t>
        </is>
      </c>
      <c r="F422" s="19" t="inlineStr">
        <is>
          <t>BS-01</t>
        </is>
      </c>
      <c r="G42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2" s="19" t="inlineStr">
        <is>
          <t>BS-01</t>
        </is>
      </c>
      <c r="I422" s="19" t="n">
        <v>1</v>
      </c>
      <c r="J422" s="20" t="n">
        <v>219</v>
      </c>
      <c r="K422" s="20" t="n">
        <v>257.61</v>
      </c>
      <c r="L422" s="20" t="n">
        <v>25.86</v>
      </c>
      <c r="M422" s="20" t="n">
        <v>0</v>
      </c>
      <c r="N422" s="20">
        <f>K422*0.08+L422*0.08</f>
        <v/>
      </c>
      <c r="O422" s="20">
        <f>-(K422*0.025+L422*0.025)</f>
        <v/>
      </c>
      <c r="P422" s="20">
        <f>32</f>
        <v/>
      </c>
      <c r="Q422" s="20">
        <f>J422+L422+N422+O422-P422-M422</f>
        <v/>
      </c>
    </row>
    <row r="423">
      <c r="A423" s="19" t="inlineStr">
        <is>
          <t>5.8-5.14</t>
        </is>
      </c>
      <c r="B423" s="19" t="inlineStr">
        <is>
          <t>PO-128-21002830520951180</t>
        </is>
      </c>
      <c r="C423" s="19" t="inlineStr">
        <is>
          <t>Shipped</t>
        </is>
      </c>
      <c r="D423" s="19" t="inlineStr">
        <is>
          <t>128-21002851369591180</t>
        </is>
      </c>
      <c r="E423" s="19" t="inlineStr">
        <is>
          <t>Shipped</t>
        </is>
      </c>
      <c r="F423" s="19" t="inlineStr">
        <is>
          <t>BS-01</t>
        </is>
      </c>
      <c r="G42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3" s="19" t="inlineStr">
        <is>
          <t>BS-01</t>
        </is>
      </c>
      <c r="I423" s="19" t="n">
        <v>1</v>
      </c>
      <c r="J423" s="20" t="n">
        <v>219</v>
      </c>
      <c r="K423" s="20" t="n">
        <v>257.61</v>
      </c>
      <c r="L423" s="20" t="n">
        <v>25.86</v>
      </c>
      <c r="M423" s="20" t="n">
        <v>0</v>
      </c>
      <c r="N423" s="20">
        <f>K423*0.08+L423*0.08</f>
        <v/>
      </c>
      <c r="O423" s="20">
        <f>-(K423*0.025+L423*0.025)</f>
        <v/>
      </c>
      <c r="P423" s="20">
        <f>32</f>
        <v/>
      </c>
      <c r="Q423" s="20">
        <f>J423+L423+N423+O423-P423-M423</f>
        <v/>
      </c>
    </row>
    <row r="424">
      <c r="A424" s="19" t="inlineStr">
        <is>
          <t>5.8-5.14</t>
        </is>
      </c>
      <c r="B424" s="19" t="inlineStr">
        <is>
          <t>PO-128-20918045435512711</t>
        </is>
      </c>
      <c r="C424" s="19" t="inlineStr">
        <is>
          <t>Shipped</t>
        </is>
      </c>
      <c r="D424" s="19" t="inlineStr">
        <is>
          <t>128-20918016599672711</t>
        </is>
      </c>
      <c r="E424" s="19" t="inlineStr">
        <is>
          <t>Shipped</t>
        </is>
      </c>
      <c r="F424" s="19" t="inlineStr">
        <is>
          <t>BS-09</t>
        </is>
      </c>
      <c r="G424" s="19" t="inlineStr">
        <is>
          <t>Altavoz de barra para PC con iluminación RGB, sonido de alta fidelidad y múltiples conexiones: Bluetooth, radio FM, USB, TF, AUX y TWS. Ideal para juegos, reuniones y cine en casa.</t>
        </is>
      </c>
      <c r="H424" s="19" t="inlineStr">
        <is>
          <t>NEGRO</t>
        </is>
      </c>
      <c r="I424" s="19" t="n">
        <v>1</v>
      </c>
      <c r="J424" s="20" t="n">
        <v>117.99</v>
      </c>
      <c r="K424" s="20" t="n">
        <v>102.47</v>
      </c>
      <c r="L424" s="20" t="n">
        <v>25.86</v>
      </c>
      <c r="M424" s="20" t="n">
        <v>0</v>
      </c>
      <c r="N424" s="20">
        <f>K424*0.08+L424*0.08</f>
        <v/>
      </c>
      <c r="O424" s="20">
        <f>-(K424*0.025+L424*0.025)</f>
        <v/>
      </c>
      <c r="P424" s="20">
        <f>32</f>
        <v/>
      </c>
      <c r="Q424" s="20">
        <f>J424+L424+N424+O424-P424-M424</f>
        <v/>
      </c>
    </row>
    <row r="425">
      <c r="A425" s="19" t="inlineStr">
        <is>
          <t>5.8-5.14</t>
        </is>
      </c>
      <c r="B425" s="19" t="inlineStr">
        <is>
          <t>PO-128-20906495002232906</t>
        </is>
      </c>
      <c r="C425" s="19" t="inlineStr">
        <is>
          <t>Shipped</t>
        </is>
      </c>
      <c r="D425" s="19" t="inlineStr">
        <is>
          <t>128-20906536945272906</t>
        </is>
      </c>
      <c r="E425" s="19" t="inlineStr">
        <is>
          <t>Shipped</t>
        </is>
      </c>
      <c r="F425" s="19" t="inlineStr">
        <is>
          <t>S-10302</t>
        </is>
      </c>
      <c r="G425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425" s="19" t="inlineStr">
        <is>
          <t>s-10302</t>
        </is>
      </c>
      <c r="I425" s="19" t="n">
        <v>1</v>
      </c>
      <c r="J425" s="20" t="n">
        <v>65</v>
      </c>
      <c r="K425" s="20" t="n">
        <v>76.88</v>
      </c>
      <c r="L425" s="20" t="n">
        <v>25.86</v>
      </c>
      <c r="M425" s="20" t="n">
        <v>0</v>
      </c>
      <c r="N425" s="20">
        <f>K425*0.08+L425*0.08</f>
        <v/>
      </c>
      <c r="O425" s="20">
        <f>-(K425*0.025+L425*0.025)</f>
        <v/>
      </c>
      <c r="P425" s="20">
        <f>32</f>
        <v/>
      </c>
      <c r="Q425" s="20">
        <f>J425+L425+N425+O425-P425-M425</f>
        <v/>
      </c>
    </row>
    <row r="426">
      <c r="A426" s="19" t="inlineStr">
        <is>
          <t>5.8-5.14</t>
        </is>
      </c>
      <c r="B426" s="19" t="inlineStr">
        <is>
          <t>PO-128-20957718037112667</t>
        </is>
      </c>
      <c r="C426" s="19" t="inlineStr">
        <is>
          <t>Shipped</t>
        </is>
      </c>
      <c r="D426" s="19" t="inlineStr">
        <is>
          <t>128-20957739008632667</t>
        </is>
      </c>
      <c r="E426" s="19" t="inlineStr">
        <is>
          <t>Shipped</t>
        </is>
      </c>
      <c r="F426" s="19" t="inlineStr">
        <is>
          <t>BS-01</t>
        </is>
      </c>
      <c r="G42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6" s="19" t="inlineStr">
        <is>
          <t>BS-01</t>
        </is>
      </c>
      <c r="I426" s="19" t="n">
        <v>1</v>
      </c>
      <c r="J426" s="20" t="n">
        <v>219</v>
      </c>
      <c r="K426" s="20" t="n">
        <v>206.09</v>
      </c>
      <c r="L426" s="20" t="n">
        <v>25.86</v>
      </c>
      <c r="M426" s="20" t="n">
        <v>0</v>
      </c>
      <c r="N426" s="20">
        <f>K426*0.08+L426*0.08</f>
        <v/>
      </c>
      <c r="O426" s="20">
        <f>-(K426*0.025+L426*0.025)</f>
        <v/>
      </c>
      <c r="P426" s="20">
        <f>32</f>
        <v/>
      </c>
      <c r="Q426" s="20">
        <f>J426+L426+N426+O426-P426-M426</f>
        <v/>
      </c>
    </row>
    <row r="427">
      <c r="A427" s="19" t="inlineStr">
        <is>
          <t>5.8-5.14</t>
        </is>
      </c>
      <c r="B427" s="19" t="inlineStr">
        <is>
          <t>PO-128-21136193889910387</t>
        </is>
      </c>
      <c r="C427" s="19" t="inlineStr">
        <is>
          <t>Shipped</t>
        </is>
      </c>
      <c r="D427" s="19" t="inlineStr">
        <is>
          <t>128-21136157189750387</t>
        </is>
      </c>
      <c r="E427" s="19" t="inlineStr">
        <is>
          <t>Shipped</t>
        </is>
      </c>
      <c r="F427" s="19" t="inlineStr">
        <is>
          <t>BS-01</t>
        </is>
      </c>
      <c r="G42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7" s="19" t="inlineStr">
        <is>
          <t>BS-01</t>
        </is>
      </c>
      <c r="I427" s="19" t="n">
        <v>1</v>
      </c>
      <c r="J427" s="20" t="n">
        <v>219</v>
      </c>
      <c r="K427" s="20" t="n">
        <v>257.61</v>
      </c>
      <c r="L427" s="20" t="n">
        <v>25.86</v>
      </c>
      <c r="M427" s="20" t="n">
        <v>0</v>
      </c>
      <c r="N427" s="20">
        <f>K427*0.08+L427*0.08</f>
        <v/>
      </c>
      <c r="O427" s="20">
        <f>-(K427*0.025+L427*0.025)</f>
        <v/>
      </c>
      <c r="P427" s="20">
        <f>32</f>
        <v/>
      </c>
      <c r="Q427" s="20">
        <f>J427+L427+N427+O427-P427-M427</f>
        <v/>
      </c>
    </row>
    <row r="428">
      <c r="A428" s="19" t="inlineStr">
        <is>
          <t>5.8-5.14</t>
        </is>
      </c>
      <c r="B428" s="19" t="inlineStr">
        <is>
          <t>PO-128-20879194404473007</t>
        </is>
      </c>
      <c r="C428" s="19" t="inlineStr">
        <is>
          <t>Shipped</t>
        </is>
      </c>
      <c r="D428" s="19" t="inlineStr">
        <is>
          <t>128-20879131489913007</t>
        </is>
      </c>
      <c r="E428" s="19" t="inlineStr">
        <is>
          <t>Shipped</t>
        </is>
      </c>
      <c r="F428" s="19" t="inlineStr">
        <is>
          <t>BS-09</t>
        </is>
      </c>
      <c r="G428" s="19" t="inlineStr">
        <is>
          <t>Altavoz de barra para PC con iluminación RGB, sonido de alta fidelidad y múltiples conexiones: Bluetooth, radio FM, USB, TF, AUX y TWS. Ideal para juegos, reuniones y cine en casa.</t>
        </is>
      </c>
      <c r="H428" s="19" t="inlineStr">
        <is>
          <t>NEGRO</t>
        </is>
      </c>
      <c r="I428" s="19" t="n">
        <v>2</v>
      </c>
      <c r="J428" s="20" t="n">
        <v>235.98</v>
      </c>
      <c r="K428" s="20" t="n">
        <v>248.84</v>
      </c>
      <c r="L428" s="20" t="n">
        <v>0</v>
      </c>
      <c r="M428" s="20" t="n">
        <v>0</v>
      </c>
      <c r="N428" s="20">
        <f>K428*0.08+L428*0.08</f>
        <v/>
      </c>
      <c r="O428" s="20">
        <f>-(K428*0.025+L428*0.025)</f>
        <v/>
      </c>
      <c r="P428" s="20">
        <f>32</f>
        <v/>
      </c>
      <c r="Q428" s="20">
        <f>J428+L428+N428+O428-P428-M428</f>
        <v/>
      </c>
    </row>
    <row r="429">
      <c r="A429" s="19" t="inlineStr">
        <is>
          <t>5.8-5.14</t>
        </is>
      </c>
      <c r="B429" s="19" t="inlineStr">
        <is>
          <t>PO-128-09750886894713737</t>
        </is>
      </c>
      <c r="C429" s="19" t="inlineStr">
        <is>
          <t>Shipped</t>
        </is>
      </c>
      <c r="D429" s="19" t="inlineStr">
        <is>
          <t>128-09750854454393737</t>
        </is>
      </c>
      <c r="E429" s="19" t="inlineStr">
        <is>
          <t>Shipped</t>
        </is>
      </c>
      <c r="F429" s="19" t="inlineStr">
        <is>
          <t>BS-01</t>
        </is>
      </c>
      <c r="G42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9" s="19" t="inlineStr">
        <is>
          <t>BS-01</t>
        </is>
      </c>
      <c r="I429" s="19" t="n">
        <v>1</v>
      </c>
      <c r="J429" s="20" t="n">
        <v>219</v>
      </c>
      <c r="K429" s="20" t="n">
        <v>155.66</v>
      </c>
      <c r="L429" s="20" t="n">
        <v>25.86</v>
      </c>
      <c r="M429" s="20" t="n">
        <v>0</v>
      </c>
      <c r="N429" s="20">
        <f>K429*0.08+L429*0.08</f>
        <v/>
      </c>
      <c r="O429" s="20">
        <f>-(K429*0.025+L429*0.025)</f>
        <v/>
      </c>
      <c r="P429" s="20">
        <f>32</f>
        <v/>
      </c>
      <c r="Q429" s="20">
        <f>J429+L429+N429+O429-P429-M429</f>
        <v/>
      </c>
    </row>
    <row r="430">
      <c r="A430" s="19" t="inlineStr">
        <is>
          <t>5.8-5.14</t>
        </is>
      </c>
      <c r="B430" s="19" t="inlineStr">
        <is>
          <t>PO-128-10301367181430582</t>
        </is>
      </c>
      <c r="C430" s="19" t="inlineStr">
        <is>
          <t>Shipped</t>
        </is>
      </c>
      <c r="D430" s="19" t="inlineStr">
        <is>
          <t>128-10301325238390582</t>
        </is>
      </c>
      <c r="E430" s="19" t="inlineStr">
        <is>
          <t>Shipped</t>
        </is>
      </c>
      <c r="F430" s="19" t="inlineStr">
        <is>
          <t>IE03CB</t>
        </is>
      </c>
      <c r="G430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30" s="19" t="inlineStr">
        <is>
          <t>BLANCO</t>
        </is>
      </c>
      <c r="I430" s="19" t="n">
        <v>1</v>
      </c>
      <c r="J430" s="20" t="n">
        <v>40</v>
      </c>
      <c r="K430" s="20" t="n">
        <v>36.22</v>
      </c>
      <c r="L430" s="20" t="n">
        <v>0</v>
      </c>
      <c r="M430" s="20" t="n">
        <v>0</v>
      </c>
      <c r="N430" s="20">
        <f>K430*0.08+L430*0.08</f>
        <v/>
      </c>
      <c r="O430" s="20">
        <f>-(K430*0.025+L430*0.025)</f>
        <v/>
      </c>
      <c r="P430" s="20">
        <f>32</f>
        <v/>
      </c>
      <c r="Q430" s="20">
        <f>J430+L430+N430+O430-P430-M430</f>
        <v/>
      </c>
    </row>
    <row r="431">
      <c r="A431" s="19" t="inlineStr">
        <is>
          <t>5.8-5.14</t>
        </is>
      </c>
      <c r="B431" s="19" t="inlineStr">
        <is>
          <t>PO-128-10301367181430582</t>
        </is>
      </c>
      <c r="C431" s="19" t="inlineStr">
        <is>
          <t>Shipped</t>
        </is>
      </c>
      <c r="D431" s="19" t="inlineStr">
        <is>
          <t>128-10301283295350582</t>
        </is>
      </c>
      <c r="E431" s="19" t="inlineStr">
        <is>
          <t>Shipped</t>
        </is>
      </c>
      <c r="F431" s="19" t="inlineStr">
        <is>
          <t>BS-01</t>
        </is>
      </c>
      <c r="G43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1" s="19" t="inlineStr">
        <is>
          <t>BS-01</t>
        </is>
      </c>
      <c r="I431" s="19" t="n">
        <v>1</v>
      </c>
      <c r="J431" s="20" t="n">
        <v>219</v>
      </c>
      <c r="K431" s="20" t="n">
        <v>188.21</v>
      </c>
      <c r="L431" s="20" t="n">
        <v>0</v>
      </c>
      <c r="M431" s="20" t="n">
        <v>0</v>
      </c>
      <c r="N431" s="20">
        <f>K431*0.08+L431*0.08</f>
        <v/>
      </c>
      <c r="O431" s="20">
        <f>-(K431*0.025+L431*0.025)</f>
        <v/>
      </c>
      <c r="P431" s="20">
        <f>32</f>
        <v/>
      </c>
      <c r="Q431" s="20">
        <f>J431+L431+N431+O431-P431-M431</f>
        <v/>
      </c>
    </row>
    <row r="432">
      <c r="A432" s="19" t="inlineStr">
        <is>
          <t>5.8-5.14</t>
        </is>
      </c>
      <c r="B432" s="19" t="inlineStr">
        <is>
          <t>PO-128-09665352435833223</t>
        </is>
      </c>
      <c r="C432" s="19" t="inlineStr">
        <is>
          <t>Shipped</t>
        </is>
      </c>
      <c r="D432" s="19" t="inlineStr">
        <is>
          <t>128-09665347192953223</t>
        </is>
      </c>
      <c r="E432" s="19" t="inlineStr">
        <is>
          <t>Shipped</t>
        </is>
      </c>
      <c r="F432" s="19" t="inlineStr">
        <is>
          <t>BS-01</t>
        </is>
      </c>
      <c r="G43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2" s="19" t="inlineStr">
        <is>
          <t>BS-01</t>
        </is>
      </c>
      <c r="I432" s="19" t="n">
        <v>1</v>
      </c>
      <c r="J432" s="20" t="n">
        <v>219</v>
      </c>
      <c r="K432" s="20" t="n">
        <v>257.61</v>
      </c>
      <c r="L432" s="20" t="n">
        <v>25.86</v>
      </c>
      <c r="M432" s="20" t="n">
        <v>0</v>
      </c>
      <c r="N432" s="20">
        <f>K432*0.08+L432*0.08</f>
        <v/>
      </c>
      <c r="O432" s="20">
        <f>-(K432*0.025+L432*0.025)</f>
        <v/>
      </c>
      <c r="P432" s="20">
        <f>32</f>
        <v/>
      </c>
      <c r="Q432" s="20">
        <f>J432+L432+N432+O432-P432-M432</f>
        <v/>
      </c>
    </row>
    <row r="433">
      <c r="A433" s="19" t="inlineStr">
        <is>
          <t>5.8-5.14</t>
        </is>
      </c>
      <c r="B433" s="19" t="inlineStr">
        <is>
          <t>PO-128-10227201042550896</t>
        </is>
      </c>
      <c r="C433" s="19" t="inlineStr">
        <is>
          <t>Shipped</t>
        </is>
      </c>
      <c r="D433" s="19" t="inlineStr">
        <is>
          <t>128-10227159099510896</t>
        </is>
      </c>
      <c r="E433" s="19" t="inlineStr">
        <is>
          <t>Shipped</t>
        </is>
      </c>
      <c r="F433" s="19" t="inlineStr">
        <is>
          <t>BS-01</t>
        </is>
      </c>
      <c r="G43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3" s="19" t="inlineStr">
        <is>
          <t>BS-01</t>
        </is>
      </c>
      <c r="I433" s="19" t="n">
        <v>1</v>
      </c>
      <c r="J433" s="20" t="n">
        <v>219</v>
      </c>
      <c r="K433" s="20" t="n">
        <v>218.97</v>
      </c>
      <c r="L433" s="20" t="n">
        <v>25.86</v>
      </c>
      <c r="M433" s="20" t="n">
        <v>0</v>
      </c>
      <c r="N433" s="20">
        <f>K433*0.08+L433*0.08</f>
        <v/>
      </c>
      <c r="O433" s="20">
        <f>-(K433*0.025+L433*0.025)</f>
        <v/>
      </c>
      <c r="P433" s="20">
        <f>32</f>
        <v/>
      </c>
      <c r="Q433" s="20">
        <f>J433+L433+N433+O433-P433-M433</f>
        <v/>
      </c>
    </row>
    <row r="434">
      <c r="A434" s="19" t="inlineStr">
        <is>
          <t>5.8-5.14</t>
        </is>
      </c>
      <c r="B434" s="19" t="inlineStr">
        <is>
          <t>PO-128-10093834668151693</t>
        </is>
      </c>
      <c r="C434" s="19" t="inlineStr">
        <is>
          <t>Shipped</t>
        </is>
      </c>
      <c r="D434" s="19" t="inlineStr">
        <is>
          <t>128-10093824182391693</t>
        </is>
      </c>
      <c r="E434" s="19" t="inlineStr">
        <is>
          <t>Shipped</t>
        </is>
      </c>
      <c r="F434" s="19" t="inlineStr">
        <is>
          <t>BS-01</t>
        </is>
      </c>
      <c r="G43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4" s="19" t="inlineStr">
        <is>
          <t>BS-01</t>
        </is>
      </c>
      <c r="I434" s="19" t="n">
        <v>1</v>
      </c>
      <c r="J434" s="20" t="n">
        <v>219</v>
      </c>
      <c r="K434" s="20" t="n">
        <v>231.03</v>
      </c>
      <c r="L434" s="20" t="n">
        <v>25.86</v>
      </c>
      <c r="M434" s="20" t="n">
        <v>0</v>
      </c>
      <c r="N434" s="20">
        <f>K434*0.08+L434*0.08</f>
        <v/>
      </c>
      <c r="O434" s="20">
        <f>-(K434*0.025+L434*0.025)</f>
        <v/>
      </c>
      <c r="P434" s="20">
        <f>32</f>
        <v/>
      </c>
      <c r="Q434" s="20">
        <f>J434+L434+N434+O434-P434-M434</f>
        <v/>
      </c>
    </row>
    <row r="435">
      <c r="A435" s="19" t="inlineStr">
        <is>
          <t>5.8-5.14</t>
        </is>
      </c>
      <c r="B435" s="19" t="inlineStr">
        <is>
          <t>PO-128-09926462953592688</t>
        </is>
      </c>
      <c r="C435" s="19" t="inlineStr">
        <is>
          <t>Shipped</t>
        </is>
      </c>
      <c r="D435" s="19" t="inlineStr">
        <is>
          <t>128-09926504896632688</t>
        </is>
      </c>
      <c r="E435" s="19" t="inlineStr">
        <is>
          <t>Shipped</t>
        </is>
      </c>
      <c r="F435" s="19" t="inlineStr">
        <is>
          <t>BS-09</t>
        </is>
      </c>
      <c r="G435" s="19" t="inlineStr">
        <is>
          <t>Altavoz de barra para PC con iluminación RGB, sonido de alta fidelidad y múltiples conexiones: Bluetooth, radio FM, USB, TF, AUX y TWS. Ideal para juegos, reuniones y cine en casa.</t>
        </is>
      </c>
      <c r="H435" s="19" t="inlineStr">
        <is>
          <t>NEGRO</t>
        </is>
      </c>
      <c r="I435" s="19" t="n">
        <v>1</v>
      </c>
      <c r="J435" s="20" t="n">
        <v>117.99</v>
      </c>
      <c r="K435" s="20" t="n">
        <v>124.42</v>
      </c>
      <c r="L435" s="20" t="n">
        <v>25.86</v>
      </c>
      <c r="M435" s="20" t="n">
        <v>0</v>
      </c>
      <c r="N435" s="20">
        <f>K435*0.08+L435*0.08</f>
        <v/>
      </c>
      <c r="O435" s="20">
        <f>-(K435*0.025+L435*0.025)</f>
        <v/>
      </c>
      <c r="P435" s="20">
        <f>32</f>
        <v/>
      </c>
      <c r="Q435" s="20">
        <f>J435+L435+N435+O435-P435-M435</f>
        <v/>
      </c>
    </row>
    <row r="436">
      <c r="A436" s="19" t="inlineStr">
        <is>
          <t>5.8-5.14</t>
        </is>
      </c>
      <c r="B436" s="19" t="inlineStr">
        <is>
          <t>PO-128-09622257242233479</t>
        </is>
      </c>
      <c r="C436" s="19" t="inlineStr">
        <is>
          <t>Shipped</t>
        </is>
      </c>
      <c r="D436" s="19" t="inlineStr">
        <is>
          <t>128-09622251999353479</t>
        </is>
      </c>
      <c r="E436" s="19" t="inlineStr">
        <is>
          <t>Shipped</t>
        </is>
      </c>
      <c r="F436" s="19" t="inlineStr">
        <is>
          <t>BS-01</t>
        </is>
      </c>
      <c r="G43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6" s="19" t="inlineStr">
        <is>
          <t>BS-01</t>
        </is>
      </c>
      <c r="I436" s="19" t="n">
        <v>1</v>
      </c>
      <c r="J436" s="20" t="n">
        <v>219</v>
      </c>
      <c r="K436" s="20" t="n">
        <v>225.46</v>
      </c>
      <c r="L436" s="20" t="n">
        <v>25.86</v>
      </c>
      <c r="M436" s="20" t="n">
        <v>0</v>
      </c>
      <c r="N436" s="20">
        <f>K436*0.08+L436*0.08</f>
        <v/>
      </c>
      <c r="O436" s="20">
        <f>-(K436*0.025+L436*0.025)</f>
        <v/>
      </c>
      <c r="P436" s="20">
        <f>32</f>
        <v/>
      </c>
      <c r="Q436" s="20">
        <f>J436+L436+N436+O436-P436-M436</f>
        <v/>
      </c>
    </row>
    <row r="437">
      <c r="A437" s="19" t="inlineStr">
        <is>
          <t>5.8-5.14</t>
        </is>
      </c>
      <c r="B437" s="19" t="inlineStr">
        <is>
          <t>PO-128-10036857372791070</t>
        </is>
      </c>
      <c r="C437" s="19" t="inlineStr">
        <is>
          <t>Shipped</t>
        </is>
      </c>
      <c r="D437" s="19" t="inlineStr">
        <is>
          <t>128-10036815429751070</t>
        </is>
      </c>
      <c r="E437" s="19" t="inlineStr">
        <is>
          <t>Shipped</t>
        </is>
      </c>
      <c r="F437" s="19" t="inlineStr">
        <is>
          <t>BS-01</t>
        </is>
      </c>
      <c r="G43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7" s="19" t="inlineStr">
        <is>
          <t>BS-01</t>
        </is>
      </c>
      <c r="I437" s="19" t="n">
        <v>1</v>
      </c>
      <c r="J437" s="20" t="n">
        <v>219</v>
      </c>
      <c r="K437" s="20" t="n">
        <v>212.95</v>
      </c>
      <c r="L437" s="20" t="n">
        <v>25.86</v>
      </c>
      <c r="M437" s="20" t="n">
        <v>0</v>
      </c>
      <c r="N437" s="20">
        <f>K437*0.08+L437*0.08</f>
        <v/>
      </c>
      <c r="O437" s="20">
        <f>-(K437*0.025+L437*0.025)</f>
        <v/>
      </c>
      <c r="P437" s="20">
        <f>32</f>
        <v/>
      </c>
      <c r="Q437" s="20">
        <f>J437+L437+N437+O437-P437-M437</f>
        <v/>
      </c>
    </row>
    <row r="438">
      <c r="A438" s="19" t="inlineStr">
        <is>
          <t>5.8-5.14</t>
        </is>
      </c>
      <c r="B438" s="19" t="inlineStr">
        <is>
          <t>PO-128-09980302774391473</t>
        </is>
      </c>
      <c r="C438" s="19" t="inlineStr">
        <is>
          <t>Shipped</t>
        </is>
      </c>
      <c r="D438" s="19" t="inlineStr">
        <is>
          <t>128-09980407631991473</t>
        </is>
      </c>
      <c r="E438" s="19" t="inlineStr">
        <is>
          <t>Shipped</t>
        </is>
      </c>
      <c r="F438" s="19" t="inlineStr">
        <is>
          <t>BS-01</t>
        </is>
      </c>
      <c r="G43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8" s="19" t="inlineStr">
        <is>
          <t>BS-01</t>
        </is>
      </c>
      <c r="I438" s="19" t="n">
        <v>1</v>
      </c>
      <c r="J438" s="20" t="n">
        <v>219</v>
      </c>
      <c r="K438" s="20" t="n">
        <v>205.89</v>
      </c>
      <c r="L438" s="20" t="n">
        <v>25.86</v>
      </c>
      <c r="M438" s="20" t="n">
        <v>0</v>
      </c>
      <c r="N438" s="20">
        <f>K438*0.08+L438*0.08</f>
        <v/>
      </c>
      <c r="O438" s="20">
        <f>-(K438*0.025+L438*0.025)</f>
        <v/>
      </c>
      <c r="P438" s="20">
        <f>32</f>
        <v/>
      </c>
      <c r="Q438" s="20">
        <f>J438+L438+N438+O438-P438-M438</f>
        <v/>
      </c>
    </row>
    <row r="439">
      <c r="A439" s="19" t="inlineStr">
        <is>
          <t>5.8-5.14</t>
        </is>
      </c>
      <c r="B439" s="19" t="inlineStr">
        <is>
          <t>PO-128-10205232044150005</t>
        </is>
      </c>
      <c r="C439" s="19" t="inlineStr">
        <is>
          <t>Shipped</t>
        </is>
      </c>
      <c r="D439" s="19" t="inlineStr">
        <is>
          <t>128-10205211072630005</t>
        </is>
      </c>
      <c r="E439" s="19" t="inlineStr">
        <is>
          <t>Shipped</t>
        </is>
      </c>
      <c r="F439" s="19" t="inlineStr">
        <is>
          <t>BS-09</t>
        </is>
      </c>
      <c r="G439" s="19" t="inlineStr">
        <is>
          <t>Altavoz de barra para PC con iluminación RGB, sonido de alta fidelidad y múltiples conexiones: Bluetooth, radio FM, USB, TF, AUX y TWS. Ideal para juegos, reuniones y cine en casa.</t>
        </is>
      </c>
      <c r="H439" s="19" t="inlineStr">
        <is>
          <t>NEGRO</t>
        </is>
      </c>
      <c r="I439" s="19" t="n">
        <v>2</v>
      </c>
      <c r="J439" s="20" t="n">
        <v>235.98</v>
      </c>
      <c r="K439" s="20" t="n">
        <v>271.06</v>
      </c>
      <c r="L439" s="20" t="n">
        <v>0</v>
      </c>
      <c r="M439" s="20" t="n">
        <v>0</v>
      </c>
      <c r="N439" s="20">
        <f>K439*0.08+L439*0.08</f>
        <v/>
      </c>
      <c r="O439" s="20">
        <f>-(K439*0.025+L439*0.025)</f>
        <v/>
      </c>
      <c r="P439" s="20">
        <f>32</f>
        <v/>
      </c>
      <c r="Q439" s="20">
        <f>J439+L439+N439+O439-P439-M439</f>
        <v/>
      </c>
    </row>
    <row r="440">
      <c r="A440" s="19" t="inlineStr">
        <is>
          <t>5.8-5.14</t>
        </is>
      </c>
      <c r="B440" s="19" t="inlineStr">
        <is>
          <t>PO-128-09796236741752440</t>
        </is>
      </c>
      <c r="C440" s="19" t="inlineStr">
        <is>
          <t>Shipped</t>
        </is>
      </c>
      <c r="D440" s="19" t="inlineStr">
        <is>
          <t>128-09796373056632440</t>
        </is>
      </c>
      <c r="E440" s="19" t="inlineStr">
        <is>
          <t>Shipped</t>
        </is>
      </c>
      <c r="F440" s="19" t="inlineStr">
        <is>
          <t>BS-01</t>
        </is>
      </c>
      <c r="G44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0" s="19" t="inlineStr">
        <is>
          <t>BS-01</t>
        </is>
      </c>
      <c r="I440" s="19" t="n">
        <v>1</v>
      </c>
      <c r="J440" s="20" t="n">
        <v>219</v>
      </c>
      <c r="K440" s="20" t="n">
        <v>257.61</v>
      </c>
      <c r="L440" s="20" t="n">
        <v>25.86</v>
      </c>
      <c r="M440" s="20" t="n">
        <v>0</v>
      </c>
      <c r="N440" s="20">
        <f>K440*0.08+L440*0.08</f>
        <v/>
      </c>
      <c r="O440" s="20">
        <f>-(K440*0.025+L440*0.025)</f>
        <v/>
      </c>
      <c r="P440" s="20">
        <f>32</f>
        <v/>
      </c>
      <c r="Q440" s="20">
        <f>J440+L440+N440+O440-P440-M440</f>
        <v/>
      </c>
    </row>
    <row r="441">
      <c r="A441" s="19" t="inlineStr">
        <is>
          <t>5.8-5.14</t>
        </is>
      </c>
      <c r="B441" s="19" t="inlineStr">
        <is>
          <t>PO-128-09621205107833484</t>
        </is>
      </c>
      <c r="C441" s="19" t="inlineStr">
        <is>
          <t>Shipped</t>
        </is>
      </c>
      <c r="D441" s="19" t="inlineStr">
        <is>
          <t>128-09621163164793484</t>
        </is>
      </c>
      <c r="E441" s="19" t="inlineStr">
        <is>
          <t>Shipped</t>
        </is>
      </c>
      <c r="F441" s="19" t="inlineStr">
        <is>
          <t>IE03CN</t>
        </is>
      </c>
      <c r="G441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41" s="19" t="inlineStr">
        <is>
          <t>NEGRO</t>
        </is>
      </c>
      <c r="I441" s="19" t="n">
        <v>1</v>
      </c>
      <c r="J441" s="20" t="n">
        <v>40</v>
      </c>
      <c r="K441" s="20" t="n">
        <v>42.15</v>
      </c>
      <c r="L441" s="20" t="n">
        <v>25.86</v>
      </c>
      <c r="M441" s="20" t="n">
        <v>0</v>
      </c>
      <c r="N441" s="20">
        <f>K441*0.08+L441*0.08</f>
        <v/>
      </c>
      <c r="O441" s="20">
        <f>-(K441*0.025+L441*0.025)</f>
        <v/>
      </c>
      <c r="P441" s="20">
        <f>32</f>
        <v/>
      </c>
      <c r="Q441" s="20">
        <f>J441+L441+N441+O441-P441-M441</f>
        <v/>
      </c>
    </row>
    <row r="442">
      <c r="A442" s="19" t="inlineStr">
        <is>
          <t>5.8-5.14</t>
        </is>
      </c>
      <c r="B442" s="19" t="inlineStr">
        <is>
          <t>PO-128-09918188677752931</t>
        </is>
      </c>
      <c r="C442" s="19" t="inlineStr">
        <is>
          <t>Shipped</t>
        </is>
      </c>
      <c r="D442" s="19" t="inlineStr">
        <is>
          <t>128-09918216202872931</t>
        </is>
      </c>
      <c r="E442" s="19" t="inlineStr">
        <is>
          <t>Shipped</t>
        </is>
      </c>
      <c r="F442" s="19" t="inlineStr">
        <is>
          <t>BS-01</t>
        </is>
      </c>
      <c r="G44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2" s="19" t="inlineStr">
        <is>
          <t>BS-01</t>
        </is>
      </c>
      <c r="I442" s="19" t="n">
        <v>1</v>
      </c>
      <c r="J442" s="20" t="n">
        <v>219</v>
      </c>
      <c r="K442" s="20" t="n">
        <v>230.47</v>
      </c>
      <c r="L442" s="20" t="n">
        <v>25.86</v>
      </c>
      <c r="M442" s="20" t="n">
        <v>0</v>
      </c>
      <c r="N442" s="20">
        <f>K442*0.08+L442*0.08</f>
        <v/>
      </c>
      <c r="O442" s="20">
        <f>-(K442*0.025+L442*0.025)</f>
        <v/>
      </c>
      <c r="P442" s="20">
        <f>32</f>
        <v/>
      </c>
      <c r="Q442" s="20">
        <f>J442+L442+N442+O442-P442-M442</f>
        <v/>
      </c>
    </row>
    <row r="443">
      <c r="A443" s="19" t="inlineStr">
        <is>
          <t>5.8-5.14</t>
        </is>
      </c>
      <c r="B443" s="19" t="inlineStr">
        <is>
          <t>PO-128-09784379520633665</t>
        </is>
      </c>
      <c r="C443" s="19" t="inlineStr">
        <is>
          <t>Shipped</t>
        </is>
      </c>
      <c r="D443" s="19" t="inlineStr">
        <is>
          <t>128-09784327091833665</t>
        </is>
      </c>
      <c r="E443" s="19" t="inlineStr">
        <is>
          <t>Shipped</t>
        </is>
      </c>
      <c r="F443" s="19" t="inlineStr">
        <is>
          <t>S-10302</t>
        </is>
      </c>
      <c r="G443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443" s="19" t="inlineStr">
        <is>
          <t>s-10302</t>
        </is>
      </c>
      <c r="I443" s="19" t="n">
        <v>1</v>
      </c>
      <c r="J443" s="20" t="n">
        <v>65</v>
      </c>
      <c r="K443" s="20" t="n">
        <v>61.5</v>
      </c>
      <c r="L443" s="20" t="n">
        <v>25.86</v>
      </c>
      <c r="M443" s="20" t="n">
        <v>0</v>
      </c>
      <c r="N443" s="20">
        <f>K443*0.08+L443*0.08</f>
        <v/>
      </c>
      <c r="O443" s="20">
        <f>-(K443*0.025+L443*0.025)</f>
        <v/>
      </c>
      <c r="P443" s="20">
        <f>32</f>
        <v/>
      </c>
      <c r="Q443" s="20">
        <f>J443+L443+N443+O443-P443-M443</f>
        <v/>
      </c>
    </row>
    <row r="444">
      <c r="A444" s="19" t="inlineStr">
        <is>
          <t>5.8-5.14</t>
        </is>
      </c>
      <c r="B444" s="19" t="inlineStr">
        <is>
          <t>PO-128-09897393357433055</t>
        </is>
      </c>
      <c r="C444" s="19" t="inlineStr">
        <is>
          <t>Shipped</t>
        </is>
      </c>
      <c r="D444" s="19" t="inlineStr">
        <is>
          <t>128-09897545400953055</t>
        </is>
      </c>
      <c r="E444" s="19" t="inlineStr">
        <is>
          <t>Shipped</t>
        </is>
      </c>
      <c r="F444" s="19" t="inlineStr">
        <is>
          <t>BS-01</t>
        </is>
      </c>
      <c r="G44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4" s="19" t="inlineStr">
        <is>
          <t>BS-01</t>
        </is>
      </c>
      <c r="I444" s="19" t="n">
        <v>1</v>
      </c>
      <c r="J444" s="20" t="n">
        <v>219</v>
      </c>
      <c r="K444" s="20" t="n">
        <v>218.97</v>
      </c>
      <c r="L444" s="20" t="n">
        <v>25.86</v>
      </c>
      <c r="M444" s="20" t="n">
        <v>0</v>
      </c>
      <c r="N444" s="20">
        <f>K444*0.08+L444*0.08</f>
        <v/>
      </c>
      <c r="O444" s="20">
        <f>-(K444*0.025+L444*0.025)</f>
        <v/>
      </c>
      <c r="P444" s="20">
        <f>32</f>
        <v/>
      </c>
      <c r="Q444" s="20">
        <f>J444+L444+N444+O444-P444-M444</f>
        <v/>
      </c>
    </row>
    <row r="445">
      <c r="A445" s="19" t="inlineStr">
        <is>
          <t>5.8-5.14</t>
        </is>
      </c>
      <c r="B445" s="19" t="inlineStr">
        <is>
          <t>PO-128-10199012055670232</t>
        </is>
      </c>
      <c r="C445" s="19" t="inlineStr">
        <is>
          <t>Shipped</t>
        </is>
      </c>
      <c r="D445" s="19" t="inlineStr">
        <is>
          <t>128-10198970112630232</t>
        </is>
      </c>
      <c r="E445" s="19" t="inlineStr">
        <is>
          <t>Shipped</t>
        </is>
      </c>
      <c r="F445" s="19" t="inlineStr">
        <is>
          <t>BS-01</t>
        </is>
      </c>
      <c r="G44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5" s="19" t="inlineStr">
        <is>
          <t>BS-01</t>
        </is>
      </c>
      <c r="I445" s="19" t="n">
        <v>1</v>
      </c>
      <c r="J445" s="20" t="n">
        <v>219</v>
      </c>
      <c r="K445" s="20" t="n">
        <v>257.61</v>
      </c>
      <c r="L445" s="20" t="n">
        <v>25.86</v>
      </c>
      <c r="M445" s="20" t="n">
        <v>0</v>
      </c>
      <c r="N445" s="20">
        <f>K445*0.08+L445*0.08</f>
        <v/>
      </c>
      <c r="O445" s="20">
        <f>-(K445*0.025+L445*0.025)</f>
        <v/>
      </c>
      <c r="P445" s="20">
        <f>32</f>
        <v/>
      </c>
      <c r="Q445" s="20">
        <f>J445+L445+N445+O445-P445-M445</f>
        <v/>
      </c>
    </row>
    <row r="446">
      <c r="A446" s="19" t="inlineStr">
        <is>
          <t>5.8-5.14</t>
        </is>
      </c>
      <c r="B446" s="19" t="inlineStr">
        <is>
          <t>PO-128-09856911893112273</t>
        </is>
      </c>
      <c r="C446" s="19" t="inlineStr">
        <is>
          <t>Shipped</t>
        </is>
      </c>
      <c r="D446" s="19" t="inlineStr">
        <is>
          <t>128-09856869950072273</t>
        </is>
      </c>
      <c r="E446" s="19" t="inlineStr">
        <is>
          <t>Shipped</t>
        </is>
      </c>
      <c r="F446" s="19" t="inlineStr">
        <is>
          <t>BS-01</t>
        </is>
      </c>
      <c r="G44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6" s="19" t="inlineStr">
        <is>
          <t>BS-01</t>
        </is>
      </c>
      <c r="I446" s="19" t="n">
        <v>1</v>
      </c>
      <c r="J446" s="20" t="n">
        <v>219</v>
      </c>
      <c r="K446" s="20" t="n">
        <v>257.61</v>
      </c>
      <c r="L446" s="20" t="n">
        <v>25.86</v>
      </c>
      <c r="M446" s="20" t="n">
        <v>0</v>
      </c>
      <c r="N446" s="20">
        <f>K446*0.08+L446*0.08</f>
        <v/>
      </c>
      <c r="O446" s="20">
        <f>-(K446*0.025+L446*0.025)</f>
        <v/>
      </c>
      <c r="P446" s="20">
        <f>32</f>
        <v/>
      </c>
      <c r="Q446" s="20">
        <f>J446+L446+N446+O446-P446-M446</f>
        <v/>
      </c>
    </row>
    <row r="447">
      <c r="A447" s="19" t="inlineStr">
        <is>
          <t>5.8-5.14</t>
        </is>
      </c>
      <c r="B447" s="19" t="inlineStr">
        <is>
          <t>PO-128-15768584932470698</t>
        </is>
      </c>
      <c r="C447" s="19" t="inlineStr">
        <is>
          <t>Shipped</t>
        </is>
      </c>
      <c r="D447" s="19" t="inlineStr">
        <is>
          <t>128-15768721247350698</t>
        </is>
      </c>
      <c r="E447" s="19" t="inlineStr">
        <is>
          <t>Shipped</t>
        </is>
      </c>
      <c r="F447" s="19" t="inlineStr">
        <is>
          <t>BS-01</t>
        </is>
      </c>
      <c r="G44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7" s="19" t="inlineStr">
        <is>
          <t>BS-01</t>
        </is>
      </c>
      <c r="I447" s="19" t="n">
        <v>1</v>
      </c>
      <c r="J447" s="20" t="n">
        <v>219</v>
      </c>
      <c r="K447" s="20" t="n">
        <v>214.51</v>
      </c>
      <c r="L447" s="20" t="n">
        <v>25.86</v>
      </c>
      <c r="M447" s="20" t="n">
        <v>0</v>
      </c>
      <c r="N447" s="20">
        <f>K447*0.08+L447*0.08</f>
        <v/>
      </c>
      <c r="O447" s="20">
        <f>-(K447*0.025+L447*0.025)</f>
        <v/>
      </c>
      <c r="P447" s="20">
        <f>32</f>
        <v/>
      </c>
      <c r="Q447" s="20">
        <f>J447+L447+N447+O447-P447-M447</f>
        <v/>
      </c>
    </row>
    <row r="448">
      <c r="A448" s="19" t="inlineStr">
        <is>
          <t>5.8-5.14</t>
        </is>
      </c>
      <c r="B448" s="19" t="inlineStr">
        <is>
          <t>PO-128-15383471468152994</t>
        </is>
      </c>
      <c r="C448" s="19" t="inlineStr">
        <is>
          <t>Shipped</t>
        </is>
      </c>
      <c r="D448" s="19" t="inlineStr">
        <is>
          <t>128-15383492439672994</t>
        </is>
      </c>
      <c r="E448" s="19" t="inlineStr">
        <is>
          <t>Shipped</t>
        </is>
      </c>
      <c r="F448" s="19" t="inlineStr">
        <is>
          <t>BS-01</t>
        </is>
      </c>
      <c r="G44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8" s="19" t="inlineStr">
        <is>
          <t>BS-01</t>
        </is>
      </c>
      <c r="I448" s="19" t="n">
        <v>1</v>
      </c>
      <c r="J448" s="20" t="n">
        <v>219</v>
      </c>
      <c r="K448" s="20" t="n">
        <v>214.51</v>
      </c>
      <c r="L448" s="20" t="n">
        <v>25.86</v>
      </c>
      <c r="M448" s="20" t="n">
        <v>0</v>
      </c>
      <c r="N448" s="20">
        <f>K448*0.08+L448*0.08</f>
        <v/>
      </c>
      <c r="O448" s="20">
        <f>-(K448*0.025+L448*0.025)</f>
        <v/>
      </c>
      <c r="P448" s="20">
        <f>32</f>
        <v/>
      </c>
      <c r="Q448" s="20">
        <f>J448+L448+N448+O448-P448-M448</f>
        <v/>
      </c>
    </row>
    <row r="449">
      <c r="A449" s="19" t="inlineStr">
        <is>
          <t>5.8-5.14</t>
        </is>
      </c>
      <c r="B449" s="19" t="inlineStr">
        <is>
          <t>PO-128-15158596222073438</t>
        </is>
      </c>
      <c r="C449" s="19" t="inlineStr">
        <is>
          <t>Shipped</t>
        </is>
      </c>
      <c r="D449" s="19" t="inlineStr">
        <is>
          <t>128-15158609329273438</t>
        </is>
      </c>
      <c r="E449" s="19" t="inlineStr">
        <is>
          <t>Shipped</t>
        </is>
      </c>
      <c r="F449" s="19" t="inlineStr">
        <is>
          <t>BS-01</t>
        </is>
      </c>
      <c r="G44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9" s="19" t="inlineStr">
        <is>
          <t>BS-01</t>
        </is>
      </c>
      <c r="I449" s="19" t="n">
        <v>1</v>
      </c>
      <c r="J449" s="20" t="n">
        <v>219</v>
      </c>
      <c r="K449" s="20" t="n">
        <v>218.97</v>
      </c>
      <c r="L449" s="20" t="n">
        <v>25.86</v>
      </c>
      <c r="M449" s="20" t="n">
        <v>0</v>
      </c>
      <c r="N449" s="20">
        <f>K449*0.08+L449*0.08</f>
        <v/>
      </c>
      <c r="O449" s="20">
        <f>-(K449*0.025+L449*0.025)</f>
        <v/>
      </c>
      <c r="P449" s="20">
        <f>32</f>
        <v/>
      </c>
      <c r="Q449" s="20">
        <f>J449+L449+N449+O449-P449-M449</f>
        <v/>
      </c>
    </row>
    <row r="450">
      <c r="A450" s="19" t="inlineStr">
        <is>
          <t>5.8-5.14</t>
        </is>
      </c>
      <c r="B450" s="19" t="inlineStr">
        <is>
          <t>PO-128-15385957553272981</t>
        </is>
      </c>
      <c r="C450" s="19" t="inlineStr">
        <is>
          <t>Shipped</t>
        </is>
      </c>
      <c r="D450" s="19" t="inlineStr">
        <is>
          <t>128-15385999496312981</t>
        </is>
      </c>
      <c r="E450" s="19" t="inlineStr">
        <is>
          <t>Shipped</t>
        </is>
      </c>
      <c r="F450" s="19" t="inlineStr">
        <is>
          <t>BS-09</t>
        </is>
      </c>
      <c r="G450" s="19" t="inlineStr">
        <is>
          <t>Altavoz de barra para PC con iluminación RGB, sonido de alta fidelidad y múltiples conexiones: Bluetooth, radio FM, USB, TF, AUX y TWS. Ideal para juegos, reuniones y cine en casa.</t>
        </is>
      </c>
      <c r="H450" s="19" t="inlineStr">
        <is>
          <t>NEGRO</t>
        </is>
      </c>
      <c r="I450" s="19" t="n">
        <v>1</v>
      </c>
      <c r="J450" s="20" t="n">
        <v>117.99</v>
      </c>
      <c r="K450" s="20" t="n">
        <v>103.28</v>
      </c>
      <c r="L450" s="20" t="n">
        <v>25.86</v>
      </c>
      <c r="M450" s="20" t="n">
        <v>0</v>
      </c>
      <c r="N450" s="20">
        <f>K450*0.08+L450*0.08</f>
        <v/>
      </c>
      <c r="O450" s="20">
        <f>-(K450*0.025+L450*0.025)</f>
        <v/>
      </c>
      <c r="P450" s="20">
        <f>32</f>
        <v/>
      </c>
      <c r="Q450" s="20">
        <f>J450+L450+N450+O450-P450-M450</f>
        <v/>
      </c>
    </row>
    <row r="451">
      <c r="A451" s="19" t="inlineStr">
        <is>
          <t>5.8-5.14</t>
        </is>
      </c>
      <c r="B451" s="19" t="inlineStr">
        <is>
          <t>PO-128-15754403784310849</t>
        </is>
      </c>
      <c r="C451" s="19" t="inlineStr">
        <is>
          <t>Shipped</t>
        </is>
      </c>
      <c r="D451" s="19" t="inlineStr">
        <is>
          <t>128-15754414270070849</t>
        </is>
      </c>
      <c r="E451" s="19" t="inlineStr">
        <is>
          <t>Shipped</t>
        </is>
      </c>
      <c r="F451" s="19" t="inlineStr">
        <is>
          <t>BS-01</t>
        </is>
      </c>
      <c r="G45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1" s="19" t="inlineStr">
        <is>
          <t>BS-01</t>
        </is>
      </c>
      <c r="I451" s="19" t="n">
        <v>1</v>
      </c>
      <c r="J451" s="20" t="n">
        <v>219</v>
      </c>
      <c r="K451" s="20" t="n">
        <v>257.61</v>
      </c>
      <c r="L451" s="20" t="n">
        <v>25.86</v>
      </c>
      <c r="M451" s="20" t="n">
        <v>0</v>
      </c>
      <c r="N451" s="20">
        <f>K451*0.08+L451*0.08</f>
        <v/>
      </c>
      <c r="O451" s="20">
        <f>-(K451*0.025+L451*0.025)</f>
        <v/>
      </c>
      <c r="P451" s="20">
        <f>32</f>
        <v/>
      </c>
      <c r="Q451" s="20">
        <f>J451+L451+N451+O451-P451-M451</f>
        <v/>
      </c>
    </row>
    <row r="452">
      <c r="A452" s="19" t="inlineStr">
        <is>
          <t>5.8-5.14</t>
        </is>
      </c>
      <c r="B452" s="19" t="inlineStr">
        <is>
          <t>PO-128-15305726746232499</t>
        </is>
      </c>
      <c r="C452" s="19" t="inlineStr">
        <is>
          <t>Shipped</t>
        </is>
      </c>
      <c r="D452" s="19" t="inlineStr">
        <is>
          <t>128-15305705774712499</t>
        </is>
      </c>
      <c r="E452" s="19" t="inlineStr">
        <is>
          <t>Shipped</t>
        </is>
      </c>
      <c r="F452" s="19" t="inlineStr">
        <is>
          <t>S-10302</t>
        </is>
      </c>
      <c r="G452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452" s="19" t="inlineStr">
        <is>
          <t>s-10302</t>
        </is>
      </c>
      <c r="I452" s="19" t="n">
        <v>1</v>
      </c>
      <c r="J452" s="20" t="n">
        <v>65</v>
      </c>
      <c r="K452" s="20" t="n">
        <v>73.16</v>
      </c>
      <c r="L452" s="20" t="n">
        <v>25.86</v>
      </c>
      <c r="M452" s="20" t="n">
        <v>0</v>
      </c>
      <c r="N452" s="20">
        <f>K452*0.08+L452*0.08</f>
        <v/>
      </c>
      <c r="O452" s="20">
        <f>-(K452*0.025+L452*0.025)</f>
        <v/>
      </c>
      <c r="P452" s="20">
        <f>32</f>
        <v/>
      </c>
      <c r="Q452" s="20">
        <f>J452+L452+N452+O452-P452-M452</f>
        <v/>
      </c>
    </row>
    <row r="453">
      <c r="A453" s="19" t="inlineStr">
        <is>
          <t>5.8-5.14</t>
        </is>
      </c>
      <c r="B453" s="19" t="inlineStr">
        <is>
          <t>PO-128-15635301768310407</t>
        </is>
      </c>
      <c r="C453" s="19" t="inlineStr">
        <is>
          <t>Shipped</t>
        </is>
      </c>
      <c r="D453" s="19" t="inlineStr">
        <is>
          <t>128-15635322739830407</t>
        </is>
      </c>
      <c r="E453" s="19" t="inlineStr">
        <is>
          <t>Shipped</t>
        </is>
      </c>
      <c r="F453" s="19" t="inlineStr">
        <is>
          <t>BS-01</t>
        </is>
      </c>
      <c r="G45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3" s="19" t="inlineStr">
        <is>
          <t>BS-01</t>
        </is>
      </c>
      <c r="I453" s="19" t="n">
        <v>1</v>
      </c>
      <c r="J453" s="20" t="n">
        <v>219</v>
      </c>
      <c r="K453" s="20" t="n">
        <v>214.51</v>
      </c>
      <c r="L453" s="20" t="n">
        <v>25.86</v>
      </c>
      <c r="M453" s="20" t="n">
        <v>0</v>
      </c>
      <c r="N453" s="20">
        <f>K453*0.08+L453*0.08</f>
        <v/>
      </c>
      <c r="O453" s="20">
        <f>-(K453*0.025+L453*0.025)</f>
        <v/>
      </c>
      <c r="P453" s="20">
        <f>32</f>
        <v/>
      </c>
      <c r="Q453" s="20">
        <f>J453+L453+N453+O453-P453-M453</f>
        <v/>
      </c>
    </row>
    <row r="454">
      <c r="A454" s="19" t="inlineStr">
        <is>
          <t>5.8-5.14</t>
        </is>
      </c>
      <c r="B454" s="19" t="inlineStr">
        <is>
          <t>PO-128-15138605338233559</t>
        </is>
      </c>
      <c r="C454" s="19" t="inlineStr">
        <is>
          <t>Shipped</t>
        </is>
      </c>
      <c r="D454" s="19" t="inlineStr">
        <is>
          <t>128-15138657767033559</t>
        </is>
      </c>
      <c r="E454" s="19" t="inlineStr">
        <is>
          <t>Shipped</t>
        </is>
      </c>
      <c r="F454" s="19" t="inlineStr">
        <is>
          <t>BS-01</t>
        </is>
      </c>
      <c r="G45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4" s="19" t="inlineStr">
        <is>
          <t>BS-01</t>
        </is>
      </c>
      <c r="I454" s="19" t="n">
        <v>1</v>
      </c>
      <c r="J454" s="20" t="n">
        <v>219</v>
      </c>
      <c r="K454" s="20" t="n">
        <v>193.21</v>
      </c>
      <c r="L454" s="20" t="n">
        <v>25.86</v>
      </c>
      <c r="M454" s="20" t="n">
        <v>0</v>
      </c>
      <c r="N454" s="20">
        <f>K454*0.08+L454*0.08</f>
        <v/>
      </c>
      <c r="O454" s="20">
        <f>-(K454*0.025+L454*0.025)</f>
        <v/>
      </c>
      <c r="P454" s="20">
        <f>32</f>
        <v/>
      </c>
      <c r="Q454" s="20">
        <f>J454+L454+N454+O454-P454-M454</f>
        <v/>
      </c>
    </row>
    <row r="455">
      <c r="A455" s="19" t="inlineStr">
        <is>
          <t>5.8-5.14</t>
        </is>
      </c>
      <c r="B455" s="19" t="inlineStr">
        <is>
          <t>PO-128-15535384643191064</t>
        </is>
      </c>
      <c r="C455" s="19" t="inlineStr">
        <is>
          <t>Shipped</t>
        </is>
      </c>
      <c r="D455" s="19" t="inlineStr">
        <is>
          <t>128-15535437071991064</t>
        </is>
      </c>
      <c r="E455" s="19" t="inlineStr">
        <is>
          <t>Shipped</t>
        </is>
      </c>
      <c r="F455" s="19" t="inlineStr">
        <is>
          <t>BS-01</t>
        </is>
      </c>
      <c r="G45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5" s="19" t="inlineStr">
        <is>
          <t>BS-01</t>
        </is>
      </c>
      <c r="I455" s="19" t="n">
        <v>1</v>
      </c>
      <c r="J455" s="20" t="n">
        <v>219</v>
      </c>
      <c r="K455" s="20" t="n">
        <v>231.77</v>
      </c>
      <c r="L455" s="20" t="n">
        <v>25.86</v>
      </c>
      <c r="M455" s="20" t="n">
        <v>0</v>
      </c>
      <c r="N455" s="20">
        <f>K455*0.08+L455*0.08</f>
        <v/>
      </c>
      <c r="O455" s="20">
        <f>-(K455*0.025+L455*0.025)</f>
        <v/>
      </c>
      <c r="P455" s="20">
        <f>32</f>
        <v/>
      </c>
      <c r="Q455" s="20">
        <f>J455+L455+N455+O455-P455-M455</f>
        <v/>
      </c>
    </row>
    <row r="456">
      <c r="A456" s="19" t="inlineStr">
        <is>
          <t>5.8-5.14</t>
        </is>
      </c>
      <c r="B456" s="19" t="inlineStr">
        <is>
          <t>PO-128-15636720983670396</t>
        </is>
      </c>
      <c r="C456" s="19" t="inlineStr">
        <is>
          <t>Shipped</t>
        </is>
      </c>
      <c r="D456" s="19" t="inlineStr">
        <is>
          <t>128-15636857298550396</t>
        </is>
      </c>
      <c r="E456" s="19" t="inlineStr">
        <is>
          <t>Shipped</t>
        </is>
      </c>
      <c r="F456" s="19" t="inlineStr">
        <is>
          <t>BS-09</t>
        </is>
      </c>
      <c r="G456" s="19" t="inlineStr">
        <is>
          <t>Altavoz de barra para PC con iluminación RGB, sonido de alta fidelidad y múltiples conexiones: Bluetooth, radio FM, USB, TF, AUX y TWS. Ideal para juegos, reuniones y cine en casa.</t>
        </is>
      </c>
      <c r="H456" s="19" t="inlineStr">
        <is>
          <t>NEGRO</t>
        </is>
      </c>
      <c r="I456" s="19" t="n">
        <v>1</v>
      </c>
      <c r="J456" s="20" t="n">
        <v>117.99</v>
      </c>
      <c r="K456" s="20" t="n">
        <v>146.38</v>
      </c>
      <c r="L456" s="20" t="n">
        <v>25.86</v>
      </c>
      <c r="M456" s="20" t="n">
        <v>0</v>
      </c>
      <c r="N456" s="20">
        <f>K456*0.08+L456*0.08</f>
        <v/>
      </c>
      <c r="O456" s="20">
        <f>-(K456*0.025+L456*0.025)</f>
        <v/>
      </c>
      <c r="P456" s="20">
        <f>32</f>
        <v/>
      </c>
      <c r="Q456" s="20">
        <f>J456+L456+N456+O456-P456-M456</f>
        <v/>
      </c>
    </row>
    <row r="457">
      <c r="A457" s="19" t="inlineStr">
        <is>
          <t>5.8-5.14</t>
        </is>
      </c>
      <c r="B457" s="19" t="inlineStr">
        <is>
          <t>PO-128-15147654651513377</t>
        </is>
      </c>
      <c r="C457" s="19" t="inlineStr">
        <is>
          <t>Shipped</t>
        </is>
      </c>
      <c r="D457" s="19" t="inlineStr">
        <is>
          <t>128-15147806695033377</t>
        </is>
      </c>
      <c r="E457" s="19" t="inlineStr">
        <is>
          <t>Shipped</t>
        </is>
      </c>
      <c r="F457" s="19" t="inlineStr">
        <is>
          <t>BS-01</t>
        </is>
      </c>
      <c r="G45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7" s="19" t="inlineStr">
        <is>
          <t>BS-01</t>
        </is>
      </c>
      <c r="I457" s="19" t="n">
        <v>1</v>
      </c>
      <c r="J457" s="20" t="n">
        <v>219</v>
      </c>
      <c r="K457" s="20" t="n">
        <v>218.97</v>
      </c>
      <c r="L457" s="20" t="n">
        <v>25.86</v>
      </c>
      <c r="M457" s="20" t="n">
        <v>0</v>
      </c>
      <c r="N457" s="20">
        <f>K457*0.08+L457*0.08</f>
        <v/>
      </c>
      <c r="O457" s="20">
        <f>-(K457*0.025+L457*0.025)</f>
        <v/>
      </c>
      <c r="P457" s="20">
        <f>32</f>
        <v/>
      </c>
      <c r="Q457" s="20">
        <f>J457+L457+N457+O457-P457-M457</f>
        <v/>
      </c>
    </row>
    <row r="458">
      <c r="A458" s="19" t="inlineStr">
        <is>
          <t>5.8-5.14</t>
        </is>
      </c>
      <c r="B458" s="19" t="inlineStr">
        <is>
          <t>PO-128-15634031660150412</t>
        </is>
      </c>
      <c r="C458" s="19" t="inlineStr">
        <is>
          <t>Shipped</t>
        </is>
      </c>
      <c r="D458" s="19" t="inlineStr">
        <is>
          <t>128-15634167975030412</t>
        </is>
      </c>
      <c r="E458" s="19" t="inlineStr">
        <is>
          <t>Shipped</t>
        </is>
      </c>
      <c r="F458" s="19" t="inlineStr">
        <is>
          <t>BS-01</t>
        </is>
      </c>
      <c r="G45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8" s="19" t="inlineStr">
        <is>
          <t>BS-01</t>
        </is>
      </c>
      <c r="I458" s="19" t="n">
        <v>1</v>
      </c>
      <c r="J458" s="20" t="n">
        <v>219</v>
      </c>
      <c r="K458" s="20" t="n">
        <v>123.33</v>
      </c>
      <c r="L458" s="20" t="n">
        <v>25.86</v>
      </c>
      <c r="M458" s="20" t="n">
        <v>0</v>
      </c>
      <c r="N458" s="20">
        <f>K458*0.08+L458*0.08</f>
        <v/>
      </c>
      <c r="O458" s="20">
        <f>-(K458*0.025+L458*0.025)</f>
        <v/>
      </c>
      <c r="P458" s="20">
        <f>32</f>
        <v/>
      </c>
      <c r="Q458" s="20">
        <f>J458+L458+N458+O458-P458-M458</f>
        <v/>
      </c>
    </row>
    <row r="459">
      <c r="A459" s="19" t="inlineStr">
        <is>
          <t>5.8-5.14</t>
        </is>
      </c>
      <c r="B459" s="19" t="inlineStr">
        <is>
          <t>PO-128-15148847304313368</t>
        </is>
      </c>
      <c r="C459" s="19" t="inlineStr">
        <is>
          <t>Shipped</t>
        </is>
      </c>
      <c r="D459" s="19" t="inlineStr">
        <is>
          <t>128-15148952161913368</t>
        </is>
      </c>
      <c r="E459" s="19" t="inlineStr">
        <is>
          <t>Shipped</t>
        </is>
      </c>
      <c r="F459" s="19" t="inlineStr">
        <is>
          <t>BS-01</t>
        </is>
      </c>
      <c r="G45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9" s="19" t="inlineStr">
        <is>
          <t>BS-01</t>
        </is>
      </c>
      <c r="I459" s="19" t="n">
        <v>1</v>
      </c>
      <c r="J459" s="20" t="n">
        <v>219</v>
      </c>
      <c r="K459" s="20" t="n">
        <v>257.61</v>
      </c>
      <c r="L459" s="20" t="n">
        <v>25.86</v>
      </c>
      <c r="M459" s="20" t="n">
        <v>0</v>
      </c>
      <c r="N459" s="20">
        <f>K459*0.08+L459*0.08</f>
        <v/>
      </c>
      <c r="O459" s="20">
        <f>-(K459*0.025+L459*0.025)</f>
        <v/>
      </c>
      <c r="P459" s="20">
        <f>32</f>
        <v/>
      </c>
      <c r="Q459" s="20">
        <f>J459+L459+N459+O459-P459-M459</f>
        <v/>
      </c>
    </row>
    <row r="460">
      <c r="A460" s="19" t="inlineStr">
        <is>
          <t>5.8-5.14</t>
        </is>
      </c>
      <c r="B460" s="19" t="inlineStr">
        <is>
          <t>PO-128-15513696996471194</t>
        </is>
      </c>
      <c r="C460" s="19" t="inlineStr">
        <is>
          <t>Shipped</t>
        </is>
      </c>
      <c r="D460" s="19" t="inlineStr">
        <is>
          <t>128-15513655053431194</t>
        </is>
      </c>
      <c r="E460" s="19" t="inlineStr">
        <is>
          <t>Shipped</t>
        </is>
      </c>
      <c r="F460" s="19" t="inlineStr">
        <is>
          <t>BS-01</t>
        </is>
      </c>
      <c r="G46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0" s="19" t="inlineStr">
        <is>
          <t>BS-01</t>
        </is>
      </c>
      <c r="I460" s="19" t="n">
        <v>1</v>
      </c>
      <c r="J460" s="20" t="n">
        <v>219</v>
      </c>
      <c r="K460" s="20" t="n">
        <v>257.61</v>
      </c>
      <c r="L460" s="20" t="n">
        <v>25.86</v>
      </c>
      <c r="M460" s="20" t="n">
        <v>0</v>
      </c>
      <c r="N460" s="20">
        <f>K460*0.08+L460*0.08</f>
        <v/>
      </c>
      <c r="O460" s="20">
        <f>-(K460*0.025+L460*0.025)</f>
        <v/>
      </c>
      <c r="P460" s="20">
        <f>32</f>
        <v/>
      </c>
      <c r="Q460" s="20">
        <f>J460+L460+N460+O460-P460-M460</f>
        <v/>
      </c>
    </row>
    <row r="461">
      <c r="A461" s="19" t="inlineStr">
        <is>
          <t>5.8-5.14</t>
        </is>
      </c>
      <c r="B461" s="19" t="inlineStr">
        <is>
          <t>PO-128-15238282714233925</t>
        </is>
      </c>
      <c r="C461" s="19" t="inlineStr">
        <is>
          <t>Shipped</t>
        </is>
      </c>
      <c r="D461" s="19" t="inlineStr">
        <is>
          <t>128-15238303685753925</t>
        </is>
      </c>
      <c r="E461" s="19" t="inlineStr">
        <is>
          <t>Shipped</t>
        </is>
      </c>
      <c r="F461" s="19" t="inlineStr">
        <is>
          <t>BS-01</t>
        </is>
      </c>
      <c r="G46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1" s="19" t="inlineStr">
        <is>
          <t>BS-01</t>
        </is>
      </c>
      <c r="I461" s="19" t="n">
        <v>1</v>
      </c>
      <c r="J461" s="20" t="n">
        <v>219</v>
      </c>
      <c r="K461" s="20" t="n">
        <v>231.75</v>
      </c>
      <c r="L461" s="20" t="n">
        <v>25.86</v>
      </c>
      <c r="M461" s="20" t="n">
        <v>0</v>
      </c>
      <c r="N461" s="20">
        <f>K461*0.08+L461*0.08</f>
        <v/>
      </c>
      <c r="O461" s="20">
        <f>-(K461*0.025+L461*0.025)</f>
        <v/>
      </c>
      <c r="P461" s="20">
        <f>32</f>
        <v/>
      </c>
      <c r="Q461" s="20">
        <f>J461+L461+N461+O461-P461-M461</f>
        <v/>
      </c>
    </row>
    <row r="462">
      <c r="A462" s="19" t="inlineStr">
        <is>
          <t>5.8-5.14</t>
        </is>
      </c>
      <c r="B462" s="19" t="inlineStr">
        <is>
          <t>PO-128-15662978657910304</t>
        </is>
      </c>
      <c r="C462" s="19" t="inlineStr">
        <is>
          <t>Shipped</t>
        </is>
      </c>
      <c r="D462" s="19" t="inlineStr">
        <is>
          <t>128-15662999629430304</t>
        </is>
      </c>
      <c r="E462" s="19" t="inlineStr">
        <is>
          <t>Shipped</t>
        </is>
      </c>
      <c r="F462" s="19" t="inlineStr">
        <is>
          <t>BS-01</t>
        </is>
      </c>
      <c r="G46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2" s="19" t="inlineStr">
        <is>
          <t>BS-01</t>
        </is>
      </c>
      <c r="I462" s="19" t="n">
        <v>1</v>
      </c>
      <c r="J462" s="20" t="n">
        <v>219</v>
      </c>
      <c r="K462" s="20" t="n">
        <v>257.61</v>
      </c>
      <c r="L462" s="20" t="n">
        <v>25.86</v>
      </c>
      <c r="M462" s="20" t="n">
        <v>0</v>
      </c>
      <c r="N462" s="20">
        <f>K462*0.08+L462*0.08</f>
        <v/>
      </c>
      <c r="O462" s="20">
        <f>-(K462*0.025+L462*0.025)</f>
        <v/>
      </c>
      <c r="P462" s="20">
        <f>32</f>
        <v/>
      </c>
      <c r="Q462" s="20">
        <f>J462+L462+N462+O462-P462-M462</f>
        <v/>
      </c>
    </row>
    <row r="463">
      <c r="A463" s="19" t="inlineStr">
        <is>
          <t>5.8-5.14</t>
        </is>
      </c>
      <c r="B463" s="19" t="inlineStr">
        <is>
          <t>PO-128-15163374858873218</t>
        </is>
      </c>
      <c r="C463" s="19" t="inlineStr">
        <is>
          <t>Shipped</t>
        </is>
      </c>
      <c r="D463" s="19" t="inlineStr">
        <is>
          <t>128-15163414835833218</t>
        </is>
      </c>
      <c r="E463" s="19" t="inlineStr">
        <is>
          <t>Shipped</t>
        </is>
      </c>
      <c r="F463" s="19" t="inlineStr">
        <is>
          <t>IE03CN</t>
        </is>
      </c>
      <c r="G463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63" s="19" t="inlineStr">
        <is>
          <t>NEGRO</t>
        </is>
      </c>
      <c r="I463" s="19" t="n">
        <v>1</v>
      </c>
      <c r="J463" s="20" t="n">
        <v>40</v>
      </c>
      <c r="K463" s="20" t="n">
        <v>49.58</v>
      </c>
      <c r="L463" s="20" t="n">
        <v>25.86</v>
      </c>
      <c r="M463" s="20" t="n">
        <v>0</v>
      </c>
      <c r="N463" s="20">
        <f>K463*0.08+L463*0.08</f>
        <v/>
      </c>
      <c r="O463" s="20">
        <f>-(K463*0.025+L463*0.025)</f>
        <v/>
      </c>
      <c r="P463" s="20">
        <f>32</f>
        <v/>
      </c>
      <c r="Q463" s="20">
        <f>J463+L463+N463+O463-P463-M463</f>
        <v/>
      </c>
    </row>
    <row r="464">
      <c r="A464" s="19" t="inlineStr">
        <is>
          <t>5.8-5.14</t>
        </is>
      </c>
      <c r="B464" s="19" t="inlineStr">
        <is>
          <t>PO-128-15426402243192738</t>
        </is>
      </c>
      <c r="C464" s="19" t="inlineStr">
        <is>
          <t>Shipped</t>
        </is>
      </c>
      <c r="D464" s="19" t="inlineStr">
        <is>
          <t>128-15426478264952738</t>
        </is>
      </c>
      <c r="E464" s="19" t="inlineStr">
        <is>
          <t>Shipped</t>
        </is>
      </c>
      <c r="F464" s="19" t="inlineStr">
        <is>
          <t>BS-01</t>
        </is>
      </c>
      <c r="G46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4" s="19" t="inlineStr">
        <is>
          <t>BS-01</t>
        </is>
      </c>
      <c r="I464" s="19" t="n">
        <v>1</v>
      </c>
      <c r="J464" s="20" t="n">
        <v>219</v>
      </c>
      <c r="K464" s="20" t="n">
        <v>257.61</v>
      </c>
      <c r="L464" s="20" t="n">
        <v>25.86</v>
      </c>
      <c r="M464" s="20" t="n">
        <v>0</v>
      </c>
      <c r="N464" s="20">
        <f>K464*0.08+L464*0.08</f>
        <v/>
      </c>
      <c r="O464" s="20">
        <f>-(K464*0.025+L464*0.025)</f>
        <v/>
      </c>
      <c r="P464" s="20">
        <f>32</f>
        <v/>
      </c>
      <c r="Q464" s="20">
        <f>J464+L464+N464+O464-P464-M464</f>
        <v/>
      </c>
    </row>
    <row r="465">
      <c r="A465" s="19" t="inlineStr">
        <is>
          <t>5.8-5.14</t>
        </is>
      </c>
      <c r="B465" s="19" t="inlineStr">
        <is>
          <t>PO-128-15574157169271795</t>
        </is>
      </c>
      <c r="C465" s="19" t="inlineStr">
        <is>
          <t>Shipped</t>
        </is>
      </c>
      <c r="D465" s="19" t="inlineStr">
        <is>
          <t>128-15574262026871795</t>
        </is>
      </c>
      <c r="E465" s="19" t="inlineStr">
        <is>
          <t>Shipped</t>
        </is>
      </c>
      <c r="F465" s="19" t="inlineStr">
        <is>
          <t>BS-01</t>
        </is>
      </c>
      <c r="G46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5" s="19" t="inlineStr">
        <is>
          <t>BS-01</t>
        </is>
      </c>
      <c r="I465" s="19" t="n">
        <v>1</v>
      </c>
      <c r="J465" s="20" t="n">
        <v>219</v>
      </c>
      <c r="K465" s="20" t="n">
        <v>214.51</v>
      </c>
      <c r="L465" s="20" t="n">
        <v>25.86</v>
      </c>
      <c r="M465" s="20" t="n">
        <v>0</v>
      </c>
      <c r="N465" s="20">
        <f>K465*0.08+L465*0.08</f>
        <v/>
      </c>
      <c r="O465" s="20">
        <f>-(K465*0.025+L465*0.025)</f>
        <v/>
      </c>
      <c r="P465" s="20">
        <f>32</f>
        <v/>
      </c>
      <c r="Q465" s="20">
        <f>J465+L465+N465+O465-P465-M465</f>
        <v/>
      </c>
    </row>
    <row r="466">
      <c r="A466" s="19" t="inlineStr">
        <is>
          <t>5.8-5.14</t>
        </is>
      </c>
      <c r="B466" s="19" t="inlineStr">
        <is>
          <t>PO-128-15168083702393254</t>
        </is>
      </c>
      <c r="C466" s="19" t="inlineStr">
        <is>
          <t>Shipped</t>
        </is>
      </c>
      <c r="D466" s="19" t="inlineStr">
        <is>
          <t>128-15168041759353254</t>
        </is>
      </c>
      <c r="E466" s="19" t="inlineStr">
        <is>
          <t>Shipped</t>
        </is>
      </c>
      <c r="F466" s="19" t="inlineStr">
        <is>
          <t>BS-01</t>
        </is>
      </c>
      <c r="G46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6" s="19" t="inlineStr">
        <is>
          <t>BS-01</t>
        </is>
      </c>
      <c r="I466" s="19" t="n">
        <v>1</v>
      </c>
      <c r="J466" s="20" t="n">
        <v>219</v>
      </c>
      <c r="K466" s="20" t="n">
        <v>218.97</v>
      </c>
      <c r="L466" s="20" t="n">
        <v>25.86</v>
      </c>
      <c r="M466" s="20" t="n">
        <v>0</v>
      </c>
      <c r="N466" s="20">
        <f>K466*0.08+L466*0.08</f>
        <v/>
      </c>
      <c r="O466" s="20">
        <f>-(K466*0.025+L466*0.025)</f>
        <v/>
      </c>
      <c r="P466" s="20">
        <f>32</f>
        <v/>
      </c>
      <c r="Q466" s="20">
        <f>J466+L466+N466+O466-P466-M466</f>
        <v/>
      </c>
    </row>
    <row r="467">
      <c r="A467" s="19" t="inlineStr">
        <is>
          <t>5.8-5.14</t>
        </is>
      </c>
      <c r="B467" s="19" t="inlineStr">
        <is>
          <t>PO-128-15782962791030743</t>
        </is>
      </c>
      <c r="C467" s="19" t="inlineStr">
        <is>
          <t>Shipped</t>
        </is>
      </c>
      <c r="D467" s="19" t="inlineStr">
        <is>
          <t>128-15782920847990743</t>
        </is>
      </c>
      <c r="E467" s="19" t="inlineStr">
        <is>
          <t>Shipped</t>
        </is>
      </c>
      <c r="F467" s="19" t="inlineStr">
        <is>
          <t>BS-01</t>
        </is>
      </c>
      <c r="G46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7" s="19" t="inlineStr">
        <is>
          <t>BS-01</t>
        </is>
      </c>
      <c r="I467" s="19" t="n">
        <v>1</v>
      </c>
      <c r="J467" s="20" t="n">
        <v>219</v>
      </c>
      <c r="K467" s="20" t="n">
        <v>174.85</v>
      </c>
      <c r="L467" s="20" t="n">
        <v>25.86</v>
      </c>
      <c r="M467" s="20" t="n">
        <v>0</v>
      </c>
      <c r="N467" s="20">
        <f>K467*0.08+L467*0.08</f>
        <v/>
      </c>
      <c r="O467" s="20">
        <f>-(K467*0.025+L467*0.025)</f>
        <v/>
      </c>
      <c r="P467" s="20">
        <f>32</f>
        <v/>
      </c>
      <c r="Q467" s="20">
        <f>J467+L467+N467+O467-P467-M467</f>
        <v/>
      </c>
    </row>
    <row r="468">
      <c r="A468" s="19" t="inlineStr">
        <is>
          <t>5.8-5.14</t>
        </is>
      </c>
      <c r="B468" s="19" t="inlineStr">
        <is>
          <t>PO-128-04605206543991703</t>
        </is>
      </c>
      <c r="C468" s="19" t="inlineStr">
        <is>
          <t>Shipped</t>
        </is>
      </c>
      <c r="D468" s="19" t="inlineStr">
        <is>
          <t>128-04605211786871703</t>
        </is>
      </c>
      <c r="E468" s="19" t="inlineStr">
        <is>
          <t>Shipped</t>
        </is>
      </c>
      <c r="F468" s="19" t="inlineStr">
        <is>
          <t>BS-01</t>
        </is>
      </c>
      <c r="G46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8" s="19" t="inlineStr">
        <is>
          <t>BS-01</t>
        </is>
      </c>
      <c r="I468" s="19" t="n">
        <v>1</v>
      </c>
      <c r="J468" s="20" t="n">
        <v>219</v>
      </c>
      <c r="K468" s="20" t="n">
        <v>257.61</v>
      </c>
      <c r="L468" s="20" t="n">
        <v>25.86</v>
      </c>
      <c r="M468" s="20" t="n">
        <v>0</v>
      </c>
      <c r="N468" s="20">
        <f>K468*0.08+L468*0.08</f>
        <v/>
      </c>
      <c r="O468" s="20">
        <f>-(K468*0.025+L468*0.025)</f>
        <v/>
      </c>
      <c r="P468" s="20">
        <f>32</f>
        <v/>
      </c>
      <c r="Q468" s="20">
        <f>J468+L468+N468+O468-P468-M468</f>
        <v/>
      </c>
    </row>
    <row r="469">
      <c r="A469" s="19" t="inlineStr">
        <is>
          <t>5.8-5.14</t>
        </is>
      </c>
      <c r="B469" s="19" t="inlineStr">
        <is>
          <t>PO-128-04660308913270287</t>
        </is>
      </c>
      <c r="C469" s="19" t="inlineStr">
        <is>
          <t>Shipped</t>
        </is>
      </c>
      <c r="D469" s="19" t="inlineStr">
        <is>
          <t>128-04660361342070287</t>
        </is>
      </c>
      <c r="E469" s="19" t="inlineStr">
        <is>
          <t>Shipped</t>
        </is>
      </c>
      <c r="F469" s="19" t="inlineStr">
        <is>
          <t>BS-01</t>
        </is>
      </c>
      <c r="G46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9" s="19" t="inlineStr">
        <is>
          <t>BS-01</t>
        </is>
      </c>
      <c r="I469" s="19" t="n">
        <v>1</v>
      </c>
      <c r="J469" s="20" t="n">
        <v>219</v>
      </c>
      <c r="K469" s="20" t="n">
        <v>257.61</v>
      </c>
      <c r="L469" s="20" t="n">
        <v>25.86</v>
      </c>
      <c r="M469" s="20" t="n">
        <v>0</v>
      </c>
      <c r="N469" s="20">
        <f>K469*0.08+L469*0.08</f>
        <v/>
      </c>
      <c r="O469" s="20">
        <f>-(K469*0.025+L469*0.025)</f>
        <v/>
      </c>
      <c r="P469" s="20">
        <f>32</f>
        <v/>
      </c>
      <c r="Q469" s="20">
        <f>J469+L469+N469+O469-P469-M469</f>
        <v/>
      </c>
    </row>
    <row r="470">
      <c r="A470" s="19" t="inlineStr">
        <is>
          <t>5.8-5.14</t>
        </is>
      </c>
      <c r="B470" s="19" t="inlineStr">
        <is>
          <t>PO-128-04485499559031521</t>
        </is>
      </c>
      <c r="C470" s="19" t="inlineStr">
        <is>
          <t>Shipped</t>
        </is>
      </c>
      <c r="D470" s="19" t="inlineStr">
        <is>
          <t>128-04485520530551521</t>
        </is>
      </c>
      <c r="E470" s="19" t="inlineStr">
        <is>
          <t>Shipped</t>
        </is>
      </c>
      <c r="F470" s="19" t="inlineStr">
        <is>
          <t>S-10302</t>
        </is>
      </c>
      <c r="G470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470" s="19" t="inlineStr">
        <is>
          <t>s-10302</t>
        </is>
      </c>
      <c r="I470" s="19" t="n">
        <v>1</v>
      </c>
      <c r="J470" s="20" t="n">
        <v>65</v>
      </c>
      <c r="K470" s="20" t="n">
        <v>33.78</v>
      </c>
      <c r="L470" s="20" t="n">
        <v>25.86</v>
      </c>
      <c r="M470" s="20" t="n">
        <v>0</v>
      </c>
      <c r="N470" s="20">
        <f>K470*0.08+L470*0.08</f>
        <v/>
      </c>
      <c r="O470" s="20">
        <f>-(K470*0.025+L470*0.025)</f>
        <v/>
      </c>
      <c r="P470" s="20">
        <f>32</f>
        <v/>
      </c>
      <c r="Q470" s="20">
        <f>J470+L470+N470+O470-P470-M470</f>
        <v/>
      </c>
    </row>
    <row r="471">
      <c r="A471" s="19" t="inlineStr">
        <is>
          <t>5.8-5.14</t>
        </is>
      </c>
      <c r="B471" s="19" t="inlineStr">
        <is>
          <t>PO-128-04215552548474024</t>
        </is>
      </c>
      <c r="C471" s="19" t="inlineStr">
        <is>
          <t>Shipped</t>
        </is>
      </c>
      <c r="D471" s="19" t="inlineStr">
        <is>
          <t>128-04215573519994024</t>
        </is>
      </c>
      <c r="E471" s="19" t="inlineStr">
        <is>
          <t>Shipped</t>
        </is>
      </c>
      <c r="F471" s="19" t="inlineStr">
        <is>
          <t>BS-01</t>
        </is>
      </c>
      <c r="G47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1" s="19" t="inlineStr">
        <is>
          <t>BS-01</t>
        </is>
      </c>
      <c r="I471" s="19" t="n">
        <v>1</v>
      </c>
      <c r="J471" s="20" t="n">
        <v>219</v>
      </c>
      <c r="K471" s="20" t="n">
        <v>214.51</v>
      </c>
      <c r="L471" s="20" t="n">
        <v>25.86</v>
      </c>
      <c r="M471" s="20" t="n">
        <v>0</v>
      </c>
      <c r="N471" s="20">
        <f>K471*0.08+L471*0.08</f>
        <v/>
      </c>
      <c r="O471" s="20">
        <f>-(K471*0.025+L471*0.025)</f>
        <v/>
      </c>
      <c r="P471" s="20">
        <f>32</f>
        <v/>
      </c>
      <c r="Q471" s="20">
        <f>J471+L471+N471+O471-P471-M471</f>
        <v/>
      </c>
    </row>
    <row r="472">
      <c r="A472" s="19" t="inlineStr">
        <is>
          <t>5.8-5.14</t>
        </is>
      </c>
      <c r="B472" s="19" t="inlineStr">
        <is>
          <t>PO-128-04170252693113206</t>
        </is>
      </c>
      <c r="C472" s="19" t="inlineStr">
        <is>
          <t>Shipped</t>
        </is>
      </c>
      <c r="D472" s="19" t="inlineStr">
        <is>
          <t>128-04170273664633206</t>
        </is>
      </c>
      <c r="E472" s="19" t="inlineStr">
        <is>
          <t>Shipped</t>
        </is>
      </c>
      <c r="F472" s="19" t="inlineStr">
        <is>
          <t>BS-01</t>
        </is>
      </c>
      <c r="G47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2" s="19" t="inlineStr">
        <is>
          <t>BS-01</t>
        </is>
      </c>
      <c r="I472" s="19" t="n">
        <v>1</v>
      </c>
      <c r="J472" s="20" t="n">
        <v>219</v>
      </c>
      <c r="K472" s="20" t="n">
        <v>257.61</v>
      </c>
      <c r="L472" s="20" t="n">
        <v>25.86</v>
      </c>
      <c r="M472" s="20" t="n">
        <v>0</v>
      </c>
      <c r="N472" s="20">
        <f>K472*0.08+L472*0.08</f>
        <v/>
      </c>
      <c r="O472" s="20">
        <f>-(K472*0.025+L472*0.025)</f>
        <v/>
      </c>
      <c r="P472" s="20">
        <f>32</f>
        <v/>
      </c>
      <c r="Q472" s="20">
        <f>J472+L472+N472+O472-P472-M472</f>
        <v/>
      </c>
    </row>
    <row r="473">
      <c r="A473" s="19" t="inlineStr">
        <is>
          <t>5.8-5.14</t>
        </is>
      </c>
      <c r="B473" s="19" t="inlineStr">
        <is>
          <t>PO-128-04753275894390821</t>
        </is>
      </c>
      <c r="C473" s="19" t="inlineStr">
        <is>
          <t>Shipped</t>
        </is>
      </c>
      <c r="D473" s="19" t="inlineStr">
        <is>
          <t>128-04753296865910821</t>
        </is>
      </c>
      <c r="E473" s="19" t="inlineStr">
        <is>
          <t>Shipped</t>
        </is>
      </c>
      <c r="F473" s="19" t="inlineStr">
        <is>
          <t>BS-01</t>
        </is>
      </c>
      <c r="G47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3" s="19" t="inlineStr">
        <is>
          <t>BS-01</t>
        </is>
      </c>
      <c r="I473" s="19" t="n">
        <v>1</v>
      </c>
      <c r="J473" s="20" t="n">
        <v>273</v>
      </c>
      <c r="K473" s="20" t="n">
        <v>311.61</v>
      </c>
      <c r="L473" s="20" t="n">
        <v>0</v>
      </c>
      <c r="M473" s="20" t="n">
        <v>0</v>
      </c>
      <c r="N473" s="20">
        <f>K473*0.08+L473*0.08</f>
        <v/>
      </c>
      <c r="O473" s="20">
        <f>-(K473*0.025+L473*0.025)</f>
        <v/>
      </c>
      <c r="P473" s="20">
        <f>32</f>
        <v/>
      </c>
      <c r="Q473" s="20">
        <f>J473+L473+N473+O473-P473-M473</f>
        <v/>
      </c>
    </row>
    <row r="474">
      <c r="A474" s="19" t="inlineStr">
        <is>
          <t>5.8-5.14</t>
        </is>
      </c>
      <c r="B474" s="19" t="inlineStr">
        <is>
          <t>PO-128-04345201490552229</t>
        </is>
      </c>
      <c r="C474" s="19" t="inlineStr">
        <is>
          <t>Shipped</t>
        </is>
      </c>
      <c r="D474" s="19" t="inlineStr">
        <is>
          <t>128-04345227704952229</t>
        </is>
      </c>
      <c r="E474" s="19" t="inlineStr">
        <is>
          <t>Shipped</t>
        </is>
      </c>
      <c r="F474" s="19" t="inlineStr">
        <is>
          <t>BS-01</t>
        </is>
      </c>
      <c r="G47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4" s="19" t="inlineStr">
        <is>
          <t>BS-01</t>
        </is>
      </c>
      <c r="I474" s="19" t="n">
        <v>1</v>
      </c>
      <c r="J474" s="20" t="n">
        <v>218</v>
      </c>
      <c r="K474" s="20" t="n">
        <v>244.75</v>
      </c>
      <c r="L474" s="20" t="n">
        <v>25.86</v>
      </c>
      <c r="M474" s="20" t="n">
        <v>0</v>
      </c>
      <c r="N474" s="20">
        <f>K474*0.08+L474*0.08</f>
        <v/>
      </c>
      <c r="O474" s="20">
        <f>-(K474*0.025+L474*0.025)</f>
        <v/>
      </c>
      <c r="P474" s="20">
        <f>32</f>
        <v/>
      </c>
      <c r="Q474" s="20">
        <f>J474+L474+N474+O474-P474-M474</f>
        <v/>
      </c>
    </row>
    <row r="475">
      <c r="A475" s="19" t="inlineStr">
        <is>
          <t>5.8-5.14</t>
        </is>
      </c>
      <c r="B475" s="19" t="inlineStr">
        <is>
          <t>PO-128-04398043290233064</t>
        </is>
      </c>
      <c r="C475" s="19" t="inlineStr">
        <is>
          <t>Shipped</t>
        </is>
      </c>
      <c r="D475" s="19" t="inlineStr">
        <is>
          <t>128-04398085233273064</t>
        </is>
      </c>
      <c r="E475" s="19" t="inlineStr">
        <is>
          <t>Shipped</t>
        </is>
      </c>
      <c r="F475" s="19" t="inlineStr">
        <is>
          <t>IE03CN</t>
        </is>
      </c>
      <c r="G475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75" s="19" t="inlineStr">
        <is>
          <t>NEGRO</t>
        </is>
      </c>
      <c r="I475" s="19" t="n">
        <v>1</v>
      </c>
      <c r="J475" s="20" t="n">
        <v>30</v>
      </c>
      <c r="K475" s="20" t="n">
        <v>39.58</v>
      </c>
      <c r="L475" s="20" t="n">
        <v>25.86</v>
      </c>
      <c r="M475" s="20" t="n">
        <v>0</v>
      </c>
      <c r="N475" s="20">
        <f>K475*0.08+L475*0.08</f>
        <v/>
      </c>
      <c r="O475" s="20">
        <f>-(K475*0.025+L475*0.025)</f>
        <v/>
      </c>
      <c r="P475" s="20">
        <f>32</f>
        <v/>
      </c>
      <c r="Q475" s="20">
        <f>J475+L475+N475+O475-P475-M475</f>
        <v/>
      </c>
    </row>
    <row r="476">
      <c r="A476" s="19" t="inlineStr">
        <is>
          <t>5.8-5.14</t>
        </is>
      </c>
      <c r="B476" s="19" t="inlineStr">
        <is>
          <t>PO-128-04417313454712887</t>
        </is>
      </c>
      <c r="C476" s="19" t="inlineStr">
        <is>
          <t>Shipped</t>
        </is>
      </c>
      <c r="D476" s="19" t="inlineStr">
        <is>
          <t>128-04417418312312887</t>
        </is>
      </c>
      <c r="E476" s="19" t="inlineStr">
        <is>
          <t>Shipped</t>
        </is>
      </c>
      <c r="F476" s="19" t="inlineStr">
        <is>
          <t>BS-09</t>
        </is>
      </c>
      <c r="G476" s="19" t="inlineStr">
        <is>
          <t>Altavoz de barra para PC con iluminación RGB, sonido de alta fidelidad y múltiples conexiones: Bluetooth, radio FM, USB, TF, AUX y TWS. Ideal para juegos, reuniones y cine en casa.</t>
        </is>
      </c>
      <c r="H476" s="19" t="inlineStr">
        <is>
          <t>NEGRO</t>
        </is>
      </c>
      <c r="I476" s="19" t="n">
        <v>1</v>
      </c>
      <c r="J476" s="20" t="n">
        <v>120</v>
      </c>
      <c r="K476" s="20" t="n">
        <v>105.3</v>
      </c>
      <c r="L476" s="20" t="n">
        <v>25.86</v>
      </c>
      <c r="M476" s="20" t="n">
        <v>0</v>
      </c>
      <c r="N476" s="20">
        <f>K476*0.08+L476*0.08</f>
        <v/>
      </c>
      <c r="O476" s="20">
        <f>-(K476*0.025+L476*0.025)</f>
        <v/>
      </c>
      <c r="P476" s="20">
        <f>32</f>
        <v/>
      </c>
      <c r="Q476" s="20">
        <f>J476+L476+N476+O476-P476-M476</f>
        <v/>
      </c>
    </row>
    <row r="477">
      <c r="A477" s="19" t="inlineStr">
        <is>
          <t>5.8-5.14</t>
        </is>
      </c>
      <c r="B477" s="19" t="inlineStr">
        <is>
          <t>PO-128-04624778404471587</t>
        </is>
      </c>
      <c r="C477" s="19" t="inlineStr">
        <is>
          <t>Shipped</t>
        </is>
      </c>
      <c r="D477" s="19" t="inlineStr">
        <is>
          <t>128-04624788890231587</t>
        </is>
      </c>
      <c r="E477" s="19" t="inlineStr">
        <is>
          <t>Shipped</t>
        </is>
      </c>
      <c r="F477" s="19" t="inlineStr">
        <is>
          <t>BS-09</t>
        </is>
      </c>
      <c r="G477" s="19" t="inlineStr">
        <is>
          <t>Altavoz de barra para PC con iluminación RGB, sonido de alta fidelidad y múltiples conexiones: Bluetooth, radio FM, USB, TF, AUX y TWS. Ideal para juegos, reuniones y cine en casa.</t>
        </is>
      </c>
      <c r="H477" s="19" t="inlineStr">
        <is>
          <t>NEGRO</t>
        </is>
      </c>
      <c r="I477" s="19" t="n">
        <v>1</v>
      </c>
      <c r="J477" s="20" t="n">
        <v>120</v>
      </c>
      <c r="K477" s="20" t="n">
        <v>126.14</v>
      </c>
      <c r="L477" s="20" t="n">
        <v>25.86</v>
      </c>
      <c r="M477" s="20" t="n">
        <v>1.71</v>
      </c>
      <c r="N477" s="20">
        <f>K477*0.08+L477*0.08</f>
        <v/>
      </c>
      <c r="O477" s="20">
        <f>-(K477*0.025+L477*0.025)</f>
        <v/>
      </c>
      <c r="P477" s="20">
        <f>32</f>
        <v/>
      </c>
      <c r="Q477" s="20">
        <f>J477+L477+N477+O477-P477-M477</f>
        <v/>
      </c>
    </row>
    <row r="478">
      <c r="A478" s="19" t="inlineStr">
        <is>
          <t>5.8-5.14</t>
        </is>
      </c>
      <c r="B478" s="19" t="inlineStr">
        <is>
          <t>PO-128-04215384269434027</t>
        </is>
      </c>
      <c r="C478" s="19" t="inlineStr">
        <is>
          <t>Shipped</t>
        </is>
      </c>
      <c r="D478" s="19" t="inlineStr">
        <is>
          <t>128-04215405240954027</t>
        </is>
      </c>
      <c r="E478" s="19" t="inlineStr">
        <is>
          <t>Shipped</t>
        </is>
      </c>
      <c r="F478" s="19" t="inlineStr">
        <is>
          <t>BS-01</t>
        </is>
      </c>
      <c r="G47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8" s="19" t="inlineStr">
        <is>
          <t>BS-01</t>
        </is>
      </c>
      <c r="I478" s="19" t="n">
        <v>1</v>
      </c>
      <c r="J478" s="20" t="n">
        <v>218</v>
      </c>
      <c r="K478" s="20" t="n">
        <v>205.29</v>
      </c>
      <c r="L478" s="20" t="n">
        <v>25.86</v>
      </c>
      <c r="M478" s="20" t="n">
        <v>0</v>
      </c>
      <c r="N478" s="20">
        <f>K478*0.08+L478*0.08</f>
        <v/>
      </c>
      <c r="O478" s="20">
        <f>-(K478*0.025+L478*0.025)</f>
        <v/>
      </c>
      <c r="P478" s="20">
        <f>32</f>
        <v/>
      </c>
      <c r="Q478" s="20">
        <f>J478+L478+N478+O478-P478-M478</f>
        <v/>
      </c>
    </row>
    <row r="479">
      <c r="A479" s="19" t="inlineStr">
        <is>
          <t>5.8-5.14</t>
        </is>
      </c>
      <c r="B479" s="19" t="inlineStr">
        <is>
          <t>PO-128-16562577275513134</t>
        </is>
      </c>
      <c r="C479" s="19" t="inlineStr">
        <is>
          <t>Shipped</t>
        </is>
      </c>
      <c r="D479" s="19" t="inlineStr">
        <is>
          <t>128-16562598247033134</t>
        </is>
      </c>
      <c r="E479" s="19" t="inlineStr">
        <is>
          <t>Shipped</t>
        </is>
      </c>
      <c r="F479" s="19" t="inlineStr">
        <is>
          <t>BS-01</t>
        </is>
      </c>
      <c r="G47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9" s="19" t="inlineStr">
        <is>
          <t>BS-01</t>
        </is>
      </c>
      <c r="I479" s="19" t="n">
        <v>1</v>
      </c>
      <c r="J479" s="20" t="n">
        <v>218</v>
      </c>
      <c r="K479" s="20" t="n">
        <v>179.63</v>
      </c>
      <c r="L479" s="20" t="n">
        <v>25.86</v>
      </c>
      <c r="M479" s="20" t="n">
        <v>0</v>
      </c>
      <c r="N479" s="20">
        <f>K479*0.08+L479*0.08</f>
        <v/>
      </c>
      <c r="O479" s="20">
        <f>-(K479*0.025+L479*0.025)</f>
        <v/>
      </c>
      <c r="P479" s="20">
        <f>32</f>
        <v/>
      </c>
      <c r="Q479" s="20">
        <f>J479+L479+N479+O479-P479-M479</f>
        <v/>
      </c>
    </row>
    <row r="480">
      <c r="A480" s="19" t="inlineStr">
        <is>
          <t>5.8-5.14</t>
        </is>
      </c>
      <c r="B480" s="19" t="inlineStr">
        <is>
          <t>PO-128-16875646351991396</t>
        </is>
      </c>
      <c r="C480" s="19" t="inlineStr">
        <is>
          <t>Shipped</t>
        </is>
      </c>
      <c r="D480" s="19" t="inlineStr">
        <is>
          <t>128-16875667323511396</t>
        </is>
      </c>
      <c r="E480" s="19" t="inlineStr">
        <is>
          <t>Shipped</t>
        </is>
      </c>
      <c r="F480" s="19" t="inlineStr">
        <is>
          <t>BS-01</t>
        </is>
      </c>
      <c r="G48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0" s="19" t="inlineStr">
        <is>
          <t>BS-01</t>
        </is>
      </c>
      <c r="I480" s="19" t="n">
        <v>1</v>
      </c>
      <c r="J480" s="20" t="n">
        <v>218</v>
      </c>
      <c r="K480" s="20" t="n">
        <v>205.29</v>
      </c>
      <c r="L480" s="20" t="n">
        <v>25.86</v>
      </c>
      <c r="M480" s="20" t="n">
        <v>0</v>
      </c>
      <c r="N480" s="20">
        <f>K480*0.08+L480*0.08</f>
        <v/>
      </c>
      <c r="O480" s="20">
        <f>-(K480*0.025+L480*0.025)</f>
        <v/>
      </c>
      <c r="P480" s="20">
        <f>32</f>
        <v/>
      </c>
      <c r="Q480" s="20">
        <f>J480+L480+N480+O480-P480-M480</f>
        <v/>
      </c>
    </row>
    <row r="481">
      <c r="A481" s="19" t="inlineStr">
        <is>
          <t>5.8-5.14</t>
        </is>
      </c>
      <c r="B481" s="19" t="inlineStr">
        <is>
          <t>PO-128-16790968033912927</t>
        </is>
      </c>
      <c r="C481" s="19" t="inlineStr">
        <is>
          <t>Shipped</t>
        </is>
      </c>
      <c r="D481" s="19" t="inlineStr">
        <is>
          <t>128-16790926090872927</t>
        </is>
      </c>
      <c r="E481" s="19" t="inlineStr">
        <is>
          <t>Shipped</t>
        </is>
      </c>
      <c r="F481" s="19" t="inlineStr">
        <is>
          <t>BS-01</t>
        </is>
      </c>
      <c r="G48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1" s="19" t="inlineStr">
        <is>
          <t>BS-01</t>
        </is>
      </c>
      <c r="I481" s="19" t="n">
        <v>1</v>
      </c>
      <c r="J481" s="20" t="n">
        <v>218</v>
      </c>
      <c r="K481" s="20" t="n">
        <v>213.51</v>
      </c>
      <c r="L481" s="20" t="n">
        <v>25.86</v>
      </c>
      <c r="M481" s="20" t="n">
        <v>0</v>
      </c>
      <c r="N481" s="20">
        <f>K481*0.08+L481*0.08</f>
        <v/>
      </c>
      <c r="O481" s="20">
        <f>-(K481*0.025+L481*0.025)</f>
        <v/>
      </c>
      <c r="P481" s="20">
        <f>32</f>
        <v/>
      </c>
      <c r="Q481" s="20">
        <f>J481+L481+N481+O481-P481-M481</f>
        <v/>
      </c>
    </row>
    <row r="482">
      <c r="A482" s="19" t="inlineStr">
        <is>
          <t>5.8-5.14</t>
        </is>
      </c>
      <c r="B482" s="19" t="inlineStr">
        <is>
          <t>PO-128-16692163236472363</t>
        </is>
      </c>
      <c r="C482" s="19" t="inlineStr">
        <is>
          <t>Shipped</t>
        </is>
      </c>
      <c r="D482" s="19" t="inlineStr">
        <is>
          <t>128-16692315279992363</t>
        </is>
      </c>
      <c r="E482" s="19" t="inlineStr">
        <is>
          <t>Shipped</t>
        </is>
      </c>
      <c r="F482" s="19" t="inlineStr">
        <is>
          <t>S-10302</t>
        </is>
      </c>
      <c r="G482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482" s="19" t="inlineStr">
        <is>
          <t>s-10302</t>
        </is>
      </c>
      <c r="I482" s="19" t="n">
        <v>1</v>
      </c>
      <c r="J482" s="20" t="n">
        <v>60.34</v>
      </c>
      <c r="K482" s="20" t="n">
        <v>29.12</v>
      </c>
      <c r="L482" s="20" t="n">
        <v>25.86</v>
      </c>
      <c r="M482" s="20" t="n">
        <v>0</v>
      </c>
      <c r="N482" s="20">
        <f>K482*0.08+L482*0.08</f>
        <v/>
      </c>
      <c r="O482" s="20">
        <f>-(K482*0.025+L482*0.025)</f>
        <v/>
      </c>
      <c r="P482" s="20">
        <f>32</f>
        <v/>
      </c>
      <c r="Q482" s="20">
        <f>J482+L482+N482+O482-P482-M482</f>
        <v/>
      </c>
    </row>
    <row r="483">
      <c r="A483" s="19" t="inlineStr">
        <is>
          <t>5.8-5.14</t>
        </is>
      </c>
      <c r="B483" s="19" t="inlineStr">
        <is>
          <t>PO-128-16737467689592093</t>
        </is>
      </c>
      <c r="C483" s="19" t="inlineStr">
        <is>
          <t>Shipped</t>
        </is>
      </c>
      <c r="D483" s="19" t="inlineStr">
        <is>
          <t>128-16737604004472093</t>
        </is>
      </c>
      <c r="E483" s="19" t="inlineStr">
        <is>
          <t>Shipped</t>
        </is>
      </c>
      <c r="F483" s="19" t="inlineStr">
        <is>
          <t>BS-01</t>
        </is>
      </c>
      <c r="G48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3" s="19" t="inlineStr">
        <is>
          <t>BS-01</t>
        </is>
      </c>
      <c r="I483" s="19" t="n">
        <v>1</v>
      </c>
      <c r="J483" s="20" t="n">
        <v>218</v>
      </c>
      <c r="K483" s="20" t="n">
        <v>256.61</v>
      </c>
      <c r="L483" s="20" t="n">
        <v>25.86</v>
      </c>
      <c r="M483" s="20" t="n">
        <v>0</v>
      </c>
      <c r="N483" s="20">
        <f>K483*0.08+L483*0.08</f>
        <v/>
      </c>
      <c r="O483" s="20">
        <f>-(K483*0.025+L483*0.025)</f>
        <v/>
      </c>
      <c r="P483" s="20">
        <f>32</f>
        <v/>
      </c>
      <c r="Q483" s="20">
        <f>J483+L483+N483+O483-P483-M483</f>
        <v/>
      </c>
    </row>
    <row r="484">
      <c r="A484" s="19" t="inlineStr">
        <is>
          <t>5.8-5.14</t>
        </is>
      </c>
      <c r="B484" s="19" t="inlineStr">
        <is>
          <t>PO-128-17145329915510684</t>
        </is>
      </c>
      <c r="C484" s="19" t="inlineStr">
        <is>
          <t>Shipped</t>
        </is>
      </c>
      <c r="D484" s="19" t="inlineStr">
        <is>
          <t>128-17145317463670684</t>
        </is>
      </c>
      <c r="E484" s="19" t="inlineStr">
        <is>
          <t>Shipped</t>
        </is>
      </c>
      <c r="F484" s="19" t="inlineStr">
        <is>
          <t>IE01MB</t>
        </is>
      </c>
      <c r="G484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84" s="19" t="inlineStr">
        <is>
          <t>1 pieza</t>
        </is>
      </c>
      <c r="I484" s="19" t="n">
        <v>1</v>
      </c>
      <c r="J484" s="20" t="n">
        <v>17.4</v>
      </c>
      <c r="K484" s="20" t="n">
        <v>20.44</v>
      </c>
      <c r="L484" s="20" t="n">
        <v>25.86</v>
      </c>
      <c r="M484" s="20" t="n">
        <v>0</v>
      </c>
      <c r="N484" s="20">
        <f>K484*0.08+L484*0.08</f>
        <v/>
      </c>
      <c r="O484" s="20">
        <f>-(K484*0.025+L484*0.025)</f>
        <v/>
      </c>
      <c r="P484" s="20">
        <f>32</f>
        <v/>
      </c>
      <c r="Q484" s="20">
        <f>J484+L484+N484+O484-P484-M484</f>
        <v/>
      </c>
    </row>
    <row r="485">
      <c r="A485" s="19" t="inlineStr">
        <is>
          <t>5.8-5.14</t>
        </is>
      </c>
      <c r="B485" s="19" t="inlineStr">
        <is>
          <t>PO-128-16549579879033277</t>
        </is>
      </c>
      <c r="C485" s="19" t="inlineStr">
        <is>
          <t>Shipped</t>
        </is>
      </c>
      <c r="D485" s="19" t="inlineStr">
        <is>
          <t>128-16549606093433277</t>
        </is>
      </c>
      <c r="E485" s="19" t="inlineStr">
        <is>
          <t>Shipped</t>
        </is>
      </c>
      <c r="F485" s="19" t="inlineStr">
        <is>
          <t>BS-01</t>
        </is>
      </c>
      <c r="G48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5" s="19" t="inlineStr">
        <is>
          <t>BS-01</t>
        </is>
      </c>
      <c r="I485" s="19" t="n">
        <v>1</v>
      </c>
      <c r="J485" s="20" t="n">
        <v>218</v>
      </c>
      <c r="K485" s="20" t="n">
        <v>256.61</v>
      </c>
      <c r="L485" s="20" t="n">
        <v>25.86</v>
      </c>
      <c r="M485" s="20" t="n">
        <v>0</v>
      </c>
      <c r="N485" s="20">
        <f>K485*0.08+L485*0.08</f>
        <v/>
      </c>
      <c r="O485" s="20">
        <f>-(K485*0.025+L485*0.025)</f>
        <v/>
      </c>
      <c r="P485" s="20">
        <f>32</f>
        <v/>
      </c>
      <c r="Q485" s="20">
        <f>J485+L485+N485+O485-P485-M485</f>
        <v/>
      </c>
    </row>
    <row r="486">
      <c r="A486" s="19" t="inlineStr">
        <is>
          <t>5.8-5.14</t>
        </is>
      </c>
      <c r="B486" s="19" t="inlineStr">
        <is>
          <t>PO-128-17126016901750801</t>
        </is>
      </c>
      <c r="C486" s="19" t="inlineStr">
        <is>
          <t>Shipped</t>
        </is>
      </c>
      <c r="D486" s="19" t="inlineStr">
        <is>
          <t>128-17126180741750801</t>
        </is>
      </c>
      <c r="E486" s="19" t="inlineStr">
        <is>
          <t>Shipped</t>
        </is>
      </c>
      <c r="F486" s="19" t="inlineStr">
        <is>
          <t>BS-01</t>
        </is>
      </c>
      <c r="G48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6" s="19" t="inlineStr">
        <is>
          <t>BS-01</t>
        </is>
      </c>
      <c r="I486" s="19" t="n">
        <v>1</v>
      </c>
      <c r="J486" s="20" t="n">
        <v>218</v>
      </c>
      <c r="K486" s="20" t="n">
        <v>256.61</v>
      </c>
      <c r="L486" s="20" t="n">
        <v>25.86</v>
      </c>
      <c r="M486" s="20" t="n">
        <v>0</v>
      </c>
      <c r="N486" s="20">
        <f>K486*0.08+L486*0.08</f>
        <v/>
      </c>
      <c r="O486" s="20">
        <f>-(K486*0.025+L486*0.025)</f>
        <v/>
      </c>
      <c r="P486" s="20">
        <f>32</f>
        <v/>
      </c>
      <c r="Q486" s="20">
        <f>J486+L486+N486+O486-P486-M486</f>
        <v/>
      </c>
    </row>
    <row r="487">
      <c r="A487" s="19" t="inlineStr">
        <is>
          <t>5.8-5.14</t>
        </is>
      </c>
      <c r="B487" s="19" t="inlineStr">
        <is>
          <t>PO-128-16866586957431322</t>
        </is>
      </c>
      <c r="C487" s="19" t="inlineStr">
        <is>
          <t>Shipped</t>
        </is>
      </c>
      <c r="D487" s="19" t="inlineStr">
        <is>
          <t>128-16866607928951322</t>
        </is>
      </c>
      <c r="E487" s="19" t="inlineStr">
        <is>
          <t>Shipped</t>
        </is>
      </c>
      <c r="F487" s="19" t="inlineStr">
        <is>
          <t>IE03CN</t>
        </is>
      </c>
      <c r="G487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87" s="19" t="inlineStr">
        <is>
          <t>NEGRO</t>
        </is>
      </c>
      <c r="I487" s="19" t="n">
        <v>2</v>
      </c>
      <c r="J487" s="20" t="n">
        <v>60</v>
      </c>
      <c r="K487" s="20" t="n">
        <v>36.06</v>
      </c>
      <c r="L487" s="20" t="n">
        <v>25.86</v>
      </c>
      <c r="M487" s="20" t="n">
        <v>0</v>
      </c>
      <c r="N487" s="20">
        <f>K487*0.08+L487*0.08</f>
        <v/>
      </c>
      <c r="O487" s="20">
        <f>-(K487*0.025+L487*0.025)</f>
        <v/>
      </c>
      <c r="P487" s="20">
        <f>32</f>
        <v/>
      </c>
      <c r="Q487" s="20">
        <f>J487+L487+N487+O487-P487-M487</f>
        <v/>
      </c>
    </row>
    <row r="488">
      <c r="A488" s="19" t="inlineStr">
        <is>
          <t>5.8-5.14</t>
        </is>
      </c>
      <c r="B488" s="19" t="inlineStr">
        <is>
          <t>PO-128-17136232335990869</t>
        </is>
      </c>
      <c r="C488" s="19" t="inlineStr">
        <is>
          <t>Shipped</t>
        </is>
      </c>
      <c r="D488" s="19" t="inlineStr">
        <is>
          <t>128-17136190392950869</t>
        </is>
      </c>
      <c r="E488" s="19" t="inlineStr">
        <is>
          <t>Shipped</t>
        </is>
      </c>
      <c r="F488" s="19" t="inlineStr">
        <is>
          <t>BS-01</t>
        </is>
      </c>
      <c r="G48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8" s="19" t="inlineStr">
        <is>
          <t>BS-01</t>
        </is>
      </c>
      <c r="I488" s="19" t="n">
        <v>1</v>
      </c>
      <c r="J488" s="20" t="n">
        <v>218</v>
      </c>
      <c r="K488" s="20" t="n">
        <v>256.61</v>
      </c>
      <c r="L488" s="20" t="n">
        <v>25.86</v>
      </c>
      <c r="M488" s="20" t="n">
        <v>0</v>
      </c>
      <c r="N488" s="20">
        <f>K488*0.08+L488*0.08</f>
        <v/>
      </c>
      <c r="O488" s="20">
        <f>-(K488*0.025+L488*0.025)</f>
        <v/>
      </c>
      <c r="P488" s="20">
        <f>32</f>
        <v/>
      </c>
      <c r="Q488" s="20">
        <f>J488+L488+N488+O488-P488-M488</f>
        <v/>
      </c>
    </row>
    <row r="489">
      <c r="A489" s="19" t="inlineStr">
        <is>
          <t>5.8-5.14</t>
        </is>
      </c>
      <c r="B489" s="19" t="inlineStr">
        <is>
          <t>PO-128-16582075566713978</t>
        </is>
      </c>
      <c r="C489" s="19" t="inlineStr">
        <is>
          <t>Shipped</t>
        </is>
      </c>
      <c r="D489" s="19" t="inlineStr">
        <is>
          <t>128-16582033623673978</t>
        </is>
      </c>
      <c r="E489" s="19" t="inlineStr">
        <is>
          <t>Shipped</t>
        </is>
      </c>
      <c r="F489" s="19" t="inlineStr">
        <is>
          <t>BS-01</t>
        </is>
      </c>
      <c r="G48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9" s="19" t="inlineStr">
        <is>
          <t>BS-01</t>
        </is>
      </c>
      <c r="I489" s="19" t="n">
        <v>1</v>
      </c>
      <c r="J489" s="20" t="n">
        <v>218</v>
      </c>
      <c r="K489" s="20" t="n">
        <v>256.61</v>
      </c>
      <c r="L489" s="20" t="n">
        <v>25.86</v>
      </c>
      <c r="M489" s="20" t="n">
        <v>0</v>
      </c>
      <c r="N489" s="20">
        <f>K489*0.08+L489*0.08</f>
        <v/>
      </c>
      <c r="O489" s="20">
        <f>-(K489*0.025+L489*0.025)</f>
        <v/>
      </c>
      <c r="P489" s="20">
        <f>32</f>
        <v/>
      </c>
      <c r="Q489" s="20">
        <f>J489+L489+N489+O489-P489-M489</f>
        <v/>
      </c>
    </row>
    <row r="490">
      <c r="A490" s="19" t="inlineStr">
        <is>
          <t>5.8-5.14</t>
        </is>
      </c>
      <c r="B490" s="19" t="inlineStr">
        <is>
          <t>PO-128-16789562225272935</t>
        </is>
      </c>
      <c r="C490" s="19" t="inlineStr">
        <is>
          <t>Shipped</t>
        </is>
      </c>
      <c r="D490" s="19" t="inlineStr">
        <is>
          <t>128-16789614654072935</t>
        </is>
      </c>
      <c r="E490" s="19" t="inlineStr">
        <is>
          <t>Shipped</t>
        </is>
      </c>
      <c r="F490" s="19" t="inlineStr">
        <is>
          <t>BS-07V</t>
        </is>
      </c>
      <c r="G490" s="19" t="inlineStr">
        <is>
          <t>Altavoz Inalámbrico Portátil con Diseño Retro, Bajos Optimizados y Sonido 3D Envolvente,Compatible con TF/FM/AUX, Conexión BT TWS. Ideal para Home Theater, Fiestas y Regalos​</t>
        </is>
      </c>
      <c r="H490" s="19" t="inlineStr">
        <is>
          <t>BS-07V</t>
        </is>
      </c>
      <c r="I490" s="19" t="n">
        <v>1</v>
      </c>
      <c r="J490" s="20" t="n">
        <v>132</v>
      </c>
      <c r="K490" s="20" t="n">
        <v>128.08</v>
      </c>
      <c r="L490" s="20" t="n">
        <v>25.86</v>
      </c>
      <c r="M490" s="20" t="n">
        <v>0</v>
      </c>
      <c r="N490" s="20">
        <f>K490*0.08+L490*0.08</f>
        <v/>
      </c>
      <c r="O490" s="20">
        <f>-(K490*0.025+L490*0.025)</f>
        <v/>
      </c>
      <c r="P490" s="20">
        <f>32</f>
        <v/>
      </c>
      <c r="Q490" s="20">
        <f>J490+L490+N490+O490-P490-M490</f>
        <v/>
      </c>
    </row>
    <row r="491">
      <c r="A491" s="19" t="inlineStr">
        <is>
          <t>5.8-5.14</t>
        </is>
      </c>
      <c r="B491" s="19" t="inlineStr">
        <is>
          <t>PO-128-06029496750710508</t>
        </is>
      </c>
      <c r="C491" s="19" t="inlineStr">
        <is>
          <t>Shipped</t>
        </is>
      </c>
      <c r="D491" s="19" t="inlineStr">
        <is>
          <t>128-06029465293430508</t>
        </is>
      </c>
      <c r="E491" s="19" t="inlineStr">
        <is>
          <t>Shipped</t>
        </is>
      </c>
      <c r="F491" s="19" t="inlineStr">
        <is>
          <t>S-10302</t>
        </is>
      </c>
      <c r="G491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491" s="19" t="inlineStr">
        <is>
          <t>s-10302</t>
        </is>
      </c>
      <c r="I491" s="19" t="n">
        <v>1</v>
      </c>
      <c r="J491" s="20" t="n">
        <v>60.34</v>
      </c>
      <c r="K491" s="20" t="n">
        <v>72.22</v>
      </c>
      <c r="L491" s="20" t="n">
        <v>25.86</v>
      </c>
      <c r="M491" s="20" t="n">
        <v>0</v>
      </c>
      <c r="N491" s="20">
        <f>K491*0.08+L491*0.08</f>
        <v/>
      </c>
      <c r="O491" s="20">
        <f>-(K491*0.025+L491*0.025)</f>
        <v/>
      </c>
      <c r="P491" s="20">
        <f>32</f>
        <v/>
      </c>
      <c r="Q491" s="20">
        <f>J491+L491+N491+O491-P491-M491</f>
        <v/>
      </c>
    </row>
    <row r="492">
      <c r="A492" s="19" t="inlineStr">
        <is>
          <t>5.8-5.14</t>
        </is>
      </c>
      <c r="B492" s="19" t="inlineStr">
        <is>
          <t>PO-128-06138833767030880</t>
        </is>
      </c>
      <c r="C492" s="19" t="inlineStr">
        <is>
          <t>Shipped</t>
        </is>
      </c>
      <c r="D492" s="19" t="inlineStr">
        <is>
          <t>128-06138875710070880</t>
        </is>
      </c>
      <c r="E492" s="19" t="inlineStr">
        <is>
          <t>Shipped</t>
        </is>
      </c>
      <c r="F492" s="19" t="inlineStr">
        <is>
          <t>BS-01</t>
        </is>
      </c>
      <c r="G49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2" s="19" t="inlineStr">
        <is>
          <t>BS-01</t>
        </is>
      </c>
      <c r="I492" s="19" t="n">
        <v>1</v>
      </c>
      <c r="J492" s="20" t="n">
        <v>218</v>
      </c>
      <c r="K492" s="20" t="n">
        <v>256.61</v>
      </c>
      <c r="L492" s="20" t="n">
        <v>25.86</v>
      </c>
      <c r="M492" s="20" t="n">
        <v>0</v>
      </c>
      <c r="N492" s="20">
        <f>K492*0.08+L492*0.08</f>
        <v/>
      </c>
      <c r="O492" s="20">
        <f>-(K492*0.025+L492*0.025)</f>
        <v/>
      </c>
      <c r="P492" s="20">
        <f>32</f>
        <v/>
      </c>
      <c r="Q492" s="20">
        <f>J492+L492+N492+O492-P492-M492</f>
        <v/>
      </c>
    </row>
    <row r="493">
      <c r="A493" s="19" t="inlineStr">
        <is>
          <t>5.8-5.14</t>
        </is>
      </c>
      <c r="B493" s="19" t="inlineStr">
        <is>
          <t>PO-128-05879176847991404</t>
        </is>
      </c>
      <c r="C493" s="19" t="inlineStr">
        <is>
          <t>Shipped</t>
        </is>
      </c>
      <c r="D493" s="19" t="inlineStr">
        <is>
          <t>128-05879166362231404</t>
        </is>
      </c>
      <c r="E493" s="19" t="inlineStr">
        <is>
          <t>Shipped</t>
        </is>
      </c>
      <c r="F493" s="19" t="inlineStr">
        <is>
          <t>BS-01</t>
        </is>
      </c>
      <c r="G49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3" s="19" t="inlineStr">
        <is>
          <t>BS-01</t>
        </is>
      </c>
      <c r="I493" s="19" t="n">
        <v>1</v>
      </c>
      <c r="J493" s="20" t="n">
        <v>218</v>
      </c>
      <c r="K493" s="20" t="n">
        <v>233.83</v>
      </c>
      <c r="L493" s="20" t="n">
        <v>25.86</v>
      </c>
      <c r="M493" s="20" t="n">
        <v>0</v>
      </c>
      <c r="N493" s="20">
        <f>K493*0.08+L493*0.08</f>
        <v/>
      </c>
      <c r="O493" s="20">
        <f>-(K493*0.025+L493*0.025)</f>
        <v/>
      </c>
      <c r="P493" s="20">
        <f>32</f>
        <v/>
      </c>
      <c r="Q493" s="20">
        <f>J493+L493+N493+O493-P493-M493</f>
        <v/>
      </c>
    </row>
    <row r="494">
      <c r="A494" s="19" t="inlineStr">
        <is>
          <t>5.8-5.14</t>
        </is>
      </c>
      <c r="B494" s="19" t="inlineStr">
        <is>
          <t>PO-128-05693564365432318</t>
        </is>
      </c>
      <c r="C494" s="19" t="inlineStr">
        <is>
          <t>Shipped</t>
        </is>
      </c>
      <c r="D494" s="19" t="inlineStr">
        <is>
          <t>128-05693548636792318</t>
        </is>
      </c>
      <c r="E494" s="19" t="inlineStr">
        <is>
          <t>Shipped</t>
        </is>
      </c>
      <c r="F494" s="19" t="inlineStr">
        <is>
          <t>BS-01</t>
        </is>
      </c>
      <c r="G49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4" s="19" t="inlineStr">
        <is>
          <t>BS-01</t>
        </is>
      </c>
      <c r="I494" s="19" t="n">
        <v>1</v>
      </c>
      <c r="J494" s="20" t="n">
        <v>218</v>
      </c>
      <c r="K494" s="20" t="n">
        <v>222.06</v>
      </c>
      <c r="L494" s="20" t="n">
        <v>25.86</v>
      </c>
      <c r="M494" s="20" t="n">
        <v>0</v>
      </c>
      <c r="N494" s="20">
        <f>K494*0.08+L494*0.08</f>
        <v/>
      </c>
      <c r="O494" s="20">
        <f>-(K494*0.025+L494*0.025)</f>
        <v/>
      </c>
      <c r="P494" s="20">
        <f>32</f>
        <v/>
      </c>
      <c r="Q494" s="20">
        <f>J494+L494+N494+O494-P494-M494</f>
        <v/>
      </c>
    </row>
    <row r="495">
      <c r="A495" s="19" t="inlineStr">
        <is>
          <t>5.8-5.14</t>
        </is>
      </c>
      <c r="B495" s="19" t="inlineStr">
        <is>
          <t>PO-128-05728369316472241</t>
        </is>
      </c>
      <c r="C495" s="19" t="inlineStr">
        <is>
          <t>Shipped</t>
        </is>
      </c>
      <c r="D495" s="19" t="inlineStr">
        <is>
          <t>128-05728400773752241</t>
        </is>
      </c>
      <c r="E495" s="19" t="inlineStr">
        <is>
          <t>Shipped</t>
        </is>
      </c>
      <c r="F495" s="19" t="inlineStr">
        <is>
          <t>BS-01</t>
        </is>
      </c>
      <c r="G49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5" s="19" t="inlineStr">
        <is>
          <t>BS-01</t>
        </is>
      </c>
      <c r="I495" s="19" t="n">
        <v>1</v>
      </c>
      <c r="J495" s="20" t="n">
        <v>218</v>
      </c>
      <c r="K495" s="20" t="n">
        <v>256.61</v>
      </c>
      <c r="L495" s="20" t="n">
        <v>25.86</v>
      </c>
      <c r="M495" s="20" t="n">
        <v>0</v>
      </c>
      <c r="N495" s="20">
        <f>K495*0.08+L495*0.08</f>
        <v/>
      </c>
      <c r="O495" s="20">
        <f>-(K495*0.025+L495*0.025)</f>
        <v/>
      </c>
      <c r="P495" s="20">
        <f>32</f>
        <v/>
      </c>
      <c r="Q495" s="20">
        <f>J495+L495+N495+O495-P495-M495</f>
        <v/>
      </c>
    </row>
    <row r="496">
      <c r="A496" s="19" t="inlineStr">
        <is>
          <t>5.8-5.14</t>
        </is>
      </c>
      <c r="B496" s="19" t="inlineStr">
        <is>
          <t>PO-128-06001525560951573</t>
        </is>
      </c>
      <c r="C496" s="19" t="inlineStr">
        <is>
          <t>Shipped</t>
        </is>
      </c>
      <c r="D496" s="19" t="inlineStr">
        <is>
          <t>128-06001483617911573</t>
        </is>
      </c>
      <c r="E496" s="19" t="inlineStr">
        <is>
          <t>Shipped</t>
        </is>
      </c>
      <c r="F496" s="19" t="inlineStr">
        <is>
          <t>BS-01</t>
        </is>
      </c>
      <c r="G49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6" s="19" t="inlineStr">
        <is>
          <t>BS-01</t>
        </is>
      </c>
      <c r="I496" s="19" t="n">
        <v>3</v>
      </c>
      <c r="J496" s="20" t="n">
        <v>654</v>
      </c>
      <c r="K496" s="20" t="n">
        <v>769.83</v>
      </c>
      <c r="L496" s="20" t="n">
        <v>0</v>
      </c>
      <c r="M496" s="20" t="n">
        <v>0</v>
      </c>
      <c r="N496" s="20">
        <f>K496*0.08+L496*0.08</f>
        <v/>
      </c>
      <c r="O496" s="20">
        <f>-(K496*0.025+L496*0.025)</f>
        <v/>
      </c>
      <c r="P496" s="20">
        <f>32</f>
        <v/>
      </c>
      <c r="Q496" s="20">
        <f>J496+L496+N496+O496-P496-M496</f>
        <v/>
      </c>
    </row>
    <row r="497">
      <c r="A497" s="19" t="inlineStr">
        <is>
          <t>5.8-5.14</t>
        </is>
      </c>
      <c r="B497" s="19" t="inlineStr">
        <is>
          <t>PO-128-11394865946231232</t>
        </is>
      </c>
      <c r="C497" s="19" t="inlineStr">
        <is>
          <t>Shipped</t>
        </is>
      </c>
      <c r="D497" s="19" t="inlineStr">
        <is>
          <t>128-11394886917751232</t>
        </is>
      </c>
      <c r="E497" s="19" t="inlineStr">
        <is>
          <t>Shipped</t>
        </is>
      </c>
      <c r="F497" s="19" t="inlineStr">
        <is>
          <t>BS-01</t>
        </is>
      </c>
      <c r="G49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7" s="19" t="inlineStr">
        <is>
          <t>BS-01</t>
        </is>
      </c>
      <c r="I497" s="19" t="n">
        <v>1</v>
      </c>
      <c r="J497" s="20" t="n">
        <v>219</v>
      </c>
      <c r="K497" s="20" t="n">
        <v>257.61</v>
      </c>
      <c r="L497" s="20" t="n">
        <v>25.86</v>
      </c>
      <c r="M497" s="20" t="n">
        <v>0</v>
      </c>
      <c r="N497" s="20">
        <f>K497*0.08+L497*0.08</f>
        <v/>
      </c>
      <c r="O497" s="20">
        <f>-(K497*0.025+L497*0.025)</f>
        <v/>
      </c>
      <c r="P497" s="20">
        <f>32</f>
        <v/>
      </c>
      <c r="Q497" s="20">
        <f>J497+L497+N497+O497-P497-M497</f>
        <v/>
      </c>
    </row>
    <row r="498">
      <c r="A498" s="19" t="inlineStr">
        <is>
          <t>5.8-5.14</t>
        </is>
      </c>
      <c r="B498" s="19" t="inlineStr">
        <is>
          <t>PO-128-11566054666870213</t>
        </is>
      </c>
      <c r="C498" s="19" t="inlineStr">
        <is>
          <t>Shipped</t>
        </is>
      </c>
      <c r="D498" s="19" t="inlineStr">
        <is>
          <t>128-11566206710390213</t>
        </is>
      </c>
      <c r="E498" s="19" t="inlineStr">
        <is>
          <t>Shipped</t>
        </is>
      </c>
      <c r="F498" s="19" t="inlineStr">
        <is>
          <t>BS-01</t>
        </is>
      </c>
      <c r="G49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8" s="19" t="inlineStr">
        <is>
          <t>BS-01</t>
        </is>
      </c>
      <c r="I498" s="19" t="n">
        <v>1</v>
      </c>
      <c r="J498" s="20" t="n">
        <v>273</v>
      </c>
      <c r="K498" s="20" t="n">
        <v>206.19</v>
      </c>
      <c r="L498" s="20" t="n">
        <v>0</v>
      </c>
      <c r="M498" s="20" t="n">
        <v>0</v>
      </c>
      <c r="N498" s="20">
        <f>K498*0.08+L498*0.08</f>
        <v/>
      </c>
      <c r="O498" s="20">
        <f>-(K498*0.025+L498*0.025)</f>
        <v/>
      </c>
      <c r="P498" s="20">
        <f>32</f>
        <v/>
      </c>
      <c r="Q498" s="20">
        <f>J498+L498+N498+O498-P498-M498</f>
        <v/>
      </c>
    </row>
    <row r="499">
      <c r="A499" s="19" t="inlineStr">
        <is>
          <t>5.8-5.14</t>
        </is>
      </c>
      <c r="B499" s="19" t="inlineStr">
        <is>
          <t>PO-128-15723281695350904</t>
        </is>
      </c>
      <c r="C499" s="19" t="inlineStr">
        <is>
          <t>Delivered</t>
        </is>
      </c>
      <c r="D499" s="19" t="inlineStr">
        <is>
          <t>128-15723297423990904</t>
        </is>
      </c>
      <c r="E499" s="19" t="inlineStr">
        <is>
          <t>Delivered</t>
        </is>
      </c>
      <c r="F499" s="19" t="inlineStr">
        <is>
          <t>BS-01</t>
        </is>
      </c>
      <c r="G49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9" s="19" t="inlineStr">
        <is>
          <t>BS-01</t>
        </is>
      </c>
      <c r="I499" s="19" t="n">
        <v>1</v>
      </c>
      <c r="J499" s="20" t="n">
        <v>219</v>
      </c>
      <c r="K499" s="20" t="n">
        <v>238.24</v>
      </c>
      <c r="L499" s="20" t="n">
        <v>25.86</v>
      </c>
      <c r="M499" s="20" t="n">
        <v>0</v>
      </c>
      <c r="N499" s="20">
        <f>K499*0.08+L499*0.08</f>
        <v/>
      </c>
      <c r="O499" s="20">
        <f>-(K499*0.025+L499*0.025)</f>
        <v/>
      </c>
      <c r="P499" s="20">
        <f>32</f>
        <v/>
      </c>
      <c r="Q499" s="20">
        <f>J499+L499+N499+O499-P499-M499</f>
        <v/>
      </c>
    </row>
    <row r="500">
      <c r="A500" s="19" t="inlineStr">
        <is>
          <t>5.8-5.14</t>
        </is>
      </c>
      <c r="B500" s="19" t="inlineStr">
        <is>
          <t>PO-128-15716998687350110</t>
        </is>
      </c>
      <c r="C500" s="19" t="inlineStr">
        <is>
          <t>Delivered</t>
        </is>
      </c>
      <c r="D500" s="19" t="inlineStr">
        <is>
          <t>128-15717051116150110</t>
        </is>
      </c>
      <c r="E500" s="19" t="inlineStr">
        <is>
          <t>Delivered</t>
        </is>
      </c>
      <c r="F500" s="19" t="inlineStr">
        <is>
          <t>BS-01</t>
        </is>
      </c>
      <c r="G50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0" s="19" t="inlineStr">
        <is>
          <t>BS-01</t>
        </is>
      </c>
      <c r="I500" s="19" t="n">
        <v>1</v>
      </c>
      <c r="J500" s="20" t="n">
        <v>219</v>
      </c>
      <c r="K500" s="20" t="n">
        <v>206.09</v>
      </c>
      <c r="L500" s="20" t="n">
        <v>25.86</v>
      </c>
      <c r="M500" s="20" t="n">
        <v>0</v>
      </c>
      <c r="N500" s="20">
        <f>K500*0.08+L500*0.08</f>
        <v/>
      </c>
      <c r="O500" s="20">
        <f>-(K500*0.025+L500*0.025)</f>
        <v/>
      </c>
      <c r="P500" s="20">
        <f>32</f>
        <v/>
      </c>
      <c r="Q500" s="20">
        <f>J500+L500+N500+O500-P500-M500</f>
        <v/>
      </c>
    </row>
    <row r="501">
      <c r="A501" s="19" t="inlineStr">
        <is>
          <t>5.8-5.14</t>
        </is>
      </c>
      <c r="B501" s="19" t="inlineStr">
        <is>
          <t>PO-128-15380934093432947</t>
        </is>
      </c>
      <c r="C501" s="19" t="inlineStr">
        <is>
          <t>Delivered</t>
        </is>
      </c>
      <c r="D501" s="19" t="inlineStr">
        <is>
          <t>128-15381014047352947</t>
        </is>
      </c>
      <c r="E501" s="19" t="inlineStr">
        <is>
          <t>Delivered</t>
        </is>
      </c>
      <c r="F501" s="19" t="inlineStr">
        <is>
          <t>BS-09</t>
        </is>
      </c>
      <c r="G501" s="19" t="inlineStr">
        <is>
          <t>Altavoz de barra para PC con iluminación RGB, sonido de alta fidelidad y múltiples conexiones: Bluetooth, radio FM, USB, TF, AUX y TWS. Ideal para juegos, reuniones y cine en casa.</t>
        </is>
      </c>
      <c r="H501" s="19" t="inlineStr">
        <is>
          <t>NEGRO</t>
        </is>
      </c>
      <c r="I501" s="19" t="n">
        <v>1</v>
      </c>
      <c r="J501" s="20" t="n">
        <v>118</v>
      </c>
      <c r="K501" s="20" t="n">
        <v>146.4</v>
      </c>
      <c r="L501" s="20" t="n">
        <v>25.86</v>
      </c>
      <c r="M501" s="20" t="n">
        <v>0</v>
      </c>
      <c r="N501" s="20">
        <f>K501*0.08+L501*0.08</f>
        <v/>
      </c>
      <c r="O501" s="20">
        <f>-(K501*0.025+L501*0.025)</f>
        <v/>
      </c>
      <c r="P501" s="20">
        <f>32</f>
        <v/>
      </c>
      <c r="Q501" s="20">
        <f>J501+L501+N501+O501-P501-M501</f>
        <v/>
      </c>
    </row>
    <row r="502">
      <c r="A502" s="19" t="inlineStr">
        <is>
          <t>5.8-5.14</t>
        </is>
      </c>
      <c r="B502" s="19" t="inlineStr">
        <is>
          <t>PO-128-15255198761593758</t>
        </is>
      </c>
      <c r="C502" s="19" t="inlineStr">
        <is>
          <t>Delivered</t>
        </is>
      </c>
      <c r="D502" s="19" t="inlineStr">
        <is>
          <t>128-15255205315193758</t>
        </is>
      </c>
      <c r="E502" s="19" t="inlineStr">
        <is>
          <t>Delivered</t>
        </is>
      </c>
      <c r="F502" s="19" t="inlineStr">
        <is>
          <t>BS-01</t>
        </is>
      </c>
      <c r="G50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2" s="19" t="inlineStr">
        <is>
          <t>BS-01</t>
        </is>
      </c>
      <c r="I502" s="19" t="n">
        <v>1</v>
      </c>
      <c r="J502" s="20" t="n">
        <v>219</v>
      </c>
      <c r="K502" s="20" t="n">
        <v>194.78</v>
      </c>
      <c r="L502" s="20" t="n">
        <v>25.86</v>
      </c>
      <c r="M502" s="20" t="n">
        <v>0</v>
      </c>
      <c r="N502" s="20">
        <f>K502*0.08+L502*0.08</f>
        <v/>
      </c>
      <c r="O502" s="20">
        <f>-(K502*0.025+L502*0.025)</f>
        <v/>
      </c>
      <c r="P502" s="20">
        <f>32</f>
        <v/>
      </c>
      <c r="Q502" s="20">
        <f>J502+L502+N502+O502-P502-M502</f>
        <v/>
      </c>
    </row>
    <row r="503">
      <c r="A503" s="19" t="inlineStr">
        <is>
          <t>5.8-5.14</t>
        </is>
      </c>
      <c r="B503" s="19" t="inlineStr">
        <is>
          <t>PO-128-15805264691830608</t>
        </is>
      </c>
      <c r="C503" s="19" t="inlineStr">
        <is>
          <t>Delivered</t>
        </is>
      </c>
      <c r="D503" s="19" t="inlineStr">
        <is>
          <t>128-15805285663350608</t>
        </is>
      </c>
      <c r="E503" s="19" t="inlineStr">
        <is>
          <t>Delivered</t>
        </is>
      </c>
      <c r="F503" s="19" t="inlineStr">
        <is>
          <t>BS-01</t>
        </is>
      </c>
      <c r="G50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3" s="19" t="inlineStr">
        <is>
          <t>BS-01</t>
        </is>
      </c>
      <c r="I503" s="19" t="n">
        <v>1</v>
      </c>
      <c r="J503" s="20" t="n">
        <v>219</v>
      </c>
      <c r="K503" s="20" t="n">
        <v>257.61</v>
      </c>
      <c r="L503" s="20" t="n">
        <v>25.86</v>
      </c>
      <c r="M503" s="20" t="n">
        <v>0</v>
      </c>
      <c r="N503" s="20">
        <f>K503*0.08+L503*0.08</f>
        <v/>
      </c>
      <c r="O503" s="20">
        <f>-(K503*0.025+L503*0.025)</f>
        <v/>
      </c>
      <c r="P503" s="20">
        <f>32</f>
        <v/>
      </c>
      <c r="Q503" s="20">
        <f>J503+L503+N503+O503-P503-M503</f>
        <v/>
      </c>
    </row>
    <row r="504">
      <c r="A504" s="19" t="inlineStr">
        <is>
          <t>5.8-5.14</t>
        </is>
      </c>
      <c r="B504" s="19" t="inlineStr">
        <is>
          <t>PO-128-15309811774072539</t>
        </is>
      </c>
      <c r="C504" s="19" t="inlineStr">
        <is>
          <t>Delivered</t>
        </is>
      </c>
      <c r="D504" s="19" t="inlineStr">
        <is>
          <t>128-15309864202872539</t>
        </is>
      </c>
      <c r="E504" s="19" t="inlineStr">
        <is>
          <t>Delivered</t>
        </is>
      </c>
      <c r="F504" s="19" t="inlineStr">
        <is>
          <t>BS-01</t>
        </is>
      </c>
      <c r="G50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4" s="19" t="inlineStr">
        <is>
          <t>BS-01</t>
        </is>
      </c>
      <c r="I504" s="19" t="n">
        <v>2</v>
      </c>
      <c r="J504" s="20" t="n">
        <v>438</v>
      </c>
      <c r="K504" s="20" t="n">
        <v>515.22</v>
      </c>
      <c r="L504" s="20" t="n">
        <v>0</v>
      </c>
      <c r="M504" s="20" t="n">
        <v>0</v>
      </c>
      <c r="N504" s="20">
        <f>K504*0.08+L504*0.08</f>
        <v/>
      </c>
      <c r="O504" s="20">
        <f>-(K504*0.025+L504*0.025)</f>
        <v/>
      </c>
      <c r="P504" s="20">
        <f>32</f>
        <v/>
      </c>
      <c r="Q504" s="20">
        <f>J504+L504+N504+O504-P504-M504</f>
        <v/>
      </c>
    </row>
    <row r="505">
      <c r="A505" s="19" t="inlineStr">
        <is>
          <t>5.8-5.14</t>
        </is>
      </c>
      <c r="B505" s="19" t="inlineStr">
        <is>
          <t>PO-128-04809653640310613</t>
        </is>
      </c>
      <c r="C505" s="19" t="inlineStr">
        <is>
          <t>Delivered</t>
        </is>
      </c>
      <c r="D505" s="19" t="inlineStr">
        <is>
          <t>128-04809611697270613</t>
        </is>
      </c>
      <c r="E505" s="19" t="inlineStr">
        <is>
          <t>Delivered</t>
        </is>
      </c>
      <c r="F505" s="19" t="inlineStr">
        <is>
          <t>BS-01</t>
        </is>
      </c>
      <c r="G50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5" s="19" t="inlineStr">
        <is>
          <t>BS-01</t>
        </is>
      </c>
      <c r="I505" s="19" t="n">
        <v>1</v>
      </c>
      <c r="J505" s="20" t="n">
        <v>219</v>
      </c>
      <c r="K505" s="20" t="n">
        <v>257.61</v>
      </c>
      <c r="L505" s="20" t="n">
        <v>25.86</v>
      </c>
      <c r="M505" s="20" t="n">
        <v>0</v>
      </c>
      <c r="N505" s="20">
        <f>K505*0.08+L505*0.08</f>
        <v/>
      </c>
      <c r="O505" s="20">
        <f>-(K505*0.025+L505*0.025)</f>
        <v/>
      </c>
      <c r="P505" s="20">
        <f>32</f>
        <v/>
      </c>
      <c r="Q505" s="20">
        <f>J505+L505+N505+O505-P505-M505</f>
        <v/>
      </c>
    </row>
    <row r="506">
      <c r="A506" s="19" t="inlineStr">
        <is>
          <t>5.8-5.14</t>
        </is>
      </c>
      <c r="B506" s="19" t="inlineStr">
        <is>
          <t>PO-128-04757914721910857</t>
        </is>
      </c>
      <c r="C506" s="19" t="inlineStr">
        <is>
          <t>Delivered</t>
        </is>
      </c>
      <c r="D506" s="19" t="inlineStr">
        <is>
          <t>128-04757956664950857</t>
        </is>
      </c>
      <c r="E506" s="19" t="inlineStr">
        <is>
          <t>Delivered</t>
        </is>
      </c>
      <c r="F506" s="19" t="inlineStr">
        <is>
          <t>BS-01</t>
        </is>
      </c>
      <c r="G50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6" s="19" t="inlineStr">
        <is>
          <t>BS-01</t>
        </is>
      </c>
      <c r="I506" s="19" t="n">
        <v>1</v>
      </c>
      <c r="J506" s="20" t="n">
        <v>219</v>
      </c>
      <c r="K506" s="20" t="n">
        <v>257.61</v>
      </c>
      <c r="L506" s="20" t="n">
        <v>25.86</v>
      </c>
      <c r="M506" s="20" t="n">
        <v>0</v>
      </c>
      <c r="N506" s="20">
        <f>K506*0.08+L506*0.08</f>
        <v/>
      </c>
      <c r="O506" s="20">
        <f>-(K506*0.025+L506*0.025)</f>
        <v/>
      </c>
      <c r="P506" s="20">
        <f>32</f>
        <v/>
      </c>
      <c r="Q506" s="20">
        <f>J506+L506+N506+O506-P506-M506</f>
        <v/>
      </c>
    </row>
    <row r="507">
      <c r="A507" s="19" t="inlineStr">
        <is>
          <t>5.8-5.14</t>
        </is>
      </c>
      <c r="B507" s="19" t="inlineStr">
        <is>
          <t>PO-128-04680740352630357</t>
        </is>
      </c>
      <c r="C507" s="19" t="inlineStr">
        <is>
          <t>Delivered</t>
        </is>
      </c>
      <c r="D507" s="19" t="inlineStr">
        <is>
          <t>128-04680719381110357</t>
        </is>
      </c>
      <c r="E507" s="19" t="inlineStr">
        <is>
          <t>Delivered</t>
        </is>
      </c>
      <c r="F507" s="19" t="inlineStr">
        <is>
          <t>S-10302</t>
        </is>
      </c>
      <c r="G507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507" s="19" t="inlineStr">
        <is>
          <t>s-10302</t>
        </is>
      </c>
      <c r="I507" s="19" t="n">
        <v>1</v>
      </c>
      <c r="J507" s="20" t="n">
        <v>60.34</v>
      </c>
      <c r="K507" s="20" t="n">
        <v>72.22</v>
      </c>
      <c r="L507" s="20" t="n">
        <v>25.86</v>
      </c>
      <c r="M507" s="20" t="n">
        <v>0</v>
      </c>
      <c r="N507" s="20">
        <f>K507*0.08+L507*0.08</f>
        <v/>
      </c>
      <c r="O507" s="20">
        <f>-(K507*0.025+L507*0.025)</f>
        <v/>
      </c>
      <c r="P507" s="20">
        <f>32</f>
        <v/>
      </c>
      <c r="Q507" s="20">
        <f>J507+L507+N507+O507-P507-M507</f>
        <v/>
      </c>
    </row>
    <row r="508">
      <c r="A508" s="19" t="inlineStr">
        <is>
          <t>5.8-5.14</t>
        </is>
      </c>
      <c r="B508" s="19" t="inlineStr">
        <is>
          <t>PO-128-04309789502072502</t>
        </is>
      </c>
      <c r="C508" s="19" t="inlineStr">
        <is>
          <t>Delivered</t>
        </is>
      </c>
      <c r="D508" s="19" t="inlineStr">
        <is>
          <t>128-04309831445112502</t>
        </is>
      </c>
      <c r="E508" s="19" t="inlineStr">
        <is>
          <t>Delivered</t>
        </is>
      </c>
      <c r="F508" s="19" t="inlineStr">
        <is>
          <t>BS-01</t>
        </is>
      </c>
      <c r="G50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8" s="19" t="inlineStr">
        <is>
          <t>BS-01</t>
        </is>
      </c>
      <c r="I508" s="19" t="n">
        <v>1</v>
      </c>
      <c r="J508" s="20" t="n">
        <v>218</v>
      </c>
      <c r="K508" s="20" t="n">
        <v>205.29</v>
      </c>
      <c r="L508" s="20" t="n">
        <v>25.86</v>
      </c>
      <c r="M508" s="20" t="n">
        <v>0</v>
      </c>
      <c r="N508" s="20">
        <f>K508*0.08+L508*0.08</f>
        <v/>
      </c>
      <c r="O508" s="20">
        <f>-(K508*0.025+L508*0.025)</f>
        <v/>
      </c>
      <c r="P508" s="20">
        <f>32</f>
        <v/>
      </c>
      <c r="Q508" s="20">
        <f>J508+L508+N508+O508-P508-M508</f>
        <v/>
      </c>
    </row>
    <row r="509">
      <c r="A509" s="19" t="inlineStr">
        <is>
          <t>5.8-5.14</t>
        </is>
      </c>
      <c r="B509" s="19" t="inlineStr">
        <is>
          <t>PO-128-04483279370871532</t>
        </is>
      </c>
      <c r="C509" s="19" t="inlineStr">
        <is>
          <t>Delivered</t>
        </is>
      </c>
      <c r="D509" s="19" t="inlineStr">
        <is>
          <t>128-04483258399351532</t>
        </is>
      </c>
      <c r="E509" s="19" t="inlineStr">
        <is>
          <t>Delivered</t>
        </is>
      </c>
      <c r="F509" s="19" t="inlineStr">
        <is>
          <t>BS-01</t>
        </is>
      </c>
      <c r="G50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9" s="19" t="inlineStr">
        <is>
          <t>BS-01</t>
        </is>
      </c>
      <c r="I509" s="19" t="n">
        <v>1</v>
      </c>
      <c r="J509" s="20" t="n">
        <v>218</v>
      </c>
      <c r="K509" s="20" t="n">
        <v>256.61</v>
      </c>
      <c r="L509" s="20" t="n">
        <v>25.86</v>
      </c>
      <c r="M509" s="20" t="n">
        <v>0</v>
      </c>
      <c r="N509" s="20">
        <f>K509*0.08+L509*0.08</f>
        <v/>
      </c>
      <c r="O509" s="20">
        <f>-(K509*0.025+L509*0.025)</f>
        <v/>
      </c>
      <c r="P509" s="20">
        <f>32</f>
        <v/>
      </c>
      <c r="Q509" s="20">
        <f>J509+L509+N509+O509-P509-M509</f>
        <v/>
      </c>
    </row>
    <row r="510">
      <c r="A510" s="19" t="inlineStr">
        <is>
          <t>5.8-5.14</t>
        </is>
      </c>
      <c r="B510" s="19" t="inlineStr">
        <is>
          <t>PO-128-16599370471034069</t>
        </is>
      </c>
      <c r="C510" s="19" t="inlineStr">
        <is>
          <t>Delivered</t>
        </is>
      </c>
      <c r="D510" s="19" t="inlineStr">
        <is>
          <t>128-16599328527994069</t>
        </is>
      </c>
      <c r="E510" s="19" t="inlineStr">
        <is>
          <t>Delivered</t>
        </is>
      </c>
      <c r="F510" s="19" t="inlineStr">
        <is>
          <t>BS-01</t>
        </is>
      </c>
      <c r="G51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0" s="19" t="inlineStr">
        <is>
          <t>BS-01</t>
        </is>
      </c>
      <c r="I510" s="19" t="n">
        <v>1</v>
      </c>
      <c r="J510" s="20" t="n">
        <v>218</v>
      </c>
      <c r="K510" s="20" t="n">
        <v>256.61</v>
      </c>
      <c r="L510" s="20" t="n">
        <v>25.86</v>
      </c>
      <c r="M510" s="20" t="n">
        <v>0</v>
      </c>
      <c r="N510" s="20">
        <f>K510*0.08+L510*0.08</f>
        <v/>
      </c>
      <c r="O510" s="20">
        <f>-(K510*0.025+L510*0.025)</f>
        <v/>
      </c>
      <c r="P510" s="20">
        <f>32</f>
        <v/>
      </c>
      <c r="Q510" s="20">
        <f>J510+L510+N510+O510-P510-M510</f>
        <v/>
      </c>
    </row>
    <row r="511">
      <c r="A511" s="19" t="inlineStr">
        <is>
          <t>5.8-5.14</t>
        </is>
      </c>
      <c r="B511" s="19" t="inlineStr">
        <is>
          <t>PO-128-16810531072632808</t>
        </is>
      </c>
      <c r="C511" s="19" t="inlineStr">
        <is>
          <t>Delivered</t>
        </is>
      </c>
      <c r="D511" s="19" t="inlineStr">
        <is>
          <t>128-16810583501432808</t>
        </is>
      </c>
      <c r="E511" s="19" t="inlineStr">
        <is>
          <t>Delivered</t>
        </is>
      </c>
      <c r="F511" s="19" t="inlineStr">
        <is>
          <t>BS-01</t>
        </is>
      </c>
      <c r="G51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1" s="19" t="inlineStr">
        <is>
          <t>BS-01</t>
        </is>
      </c>
      <c r="I511" s="19" t="n">
        <v>1</v>
      </c>
      <c r="J511" s="20" t="n">
        <v>218</v>
      </c>
      <c r="K511" s="20" t="n">
        <v>256.61</v>
      </c>
      <c r="L511" s="20" t="n">
        <v>25.86</v>
      </c>
      <c r="M511" s="20" t="n">
        <v>0</v>
      </c>
      <c r="N511" s="20">
        <f>K511*0.08+L511*0.08</f>
        <v/>
      </c>
      <c r="O511" s="20">
        <f>-(K511*0.025+L511*0.025)</f>
        <v/>
      </c>
      <c r="P511" s="20">
        <f>32</f>
        <v/>
      </c>
      <c r="Q511" s="20">
        <f>J511+L511+N511+O511-P511-M511</f>
        <v/>
      </c>
    </row>
    <row r="512">
      <c r="A512" s="19" t="inlineStr">
        <is>
          <t>5.8-5.14</t>
        </is>
      </c>
      <c r="B512" s="19" t="inlineStr">
        <is>
          <t>PO-128-17024724398710509</t>
        </is>
      </c>
      <c r="C512" s="19" t="inlineStr">
        <is>
          <t>Delivered</t>
        </is>
      </c>
      <c r="D512" s="19" t="inlineStr">
        <is>
          <t>128-17024766341750509</t>
        </is>
      </c>
      <c r="E512" s="19" t="inlineStr">
        <is>
          <t>Delivered</t>
        </is>
      </c>
      <c r="F512" s="19" t="inlineStr">
        <is>
          <t>BS-01</t>
        </is>
      </c>
      <c r="G51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2" s="19" t="inlineStr">
        <is>
          <t>BS-01</t>
        </is>
      </c>
      <c r="I512" s="19" t="n">
        <v>1</v>
      </c>
      <c r="J512" s="20" t="n">
        <v>218</v>
      </c>
      <c r="K512" s="20" t="n">
        <v>256.61</v>
      </c>
      <c r="L512" s="20" t="n">
        <v>0</v>
      </c>
      <c r="M512" s="20" t="n">
        <v>0</v>
      </c>
      <c r="N512" s="20">
        <f>K512*0.08+L512*0.08</f>
        <v/>
      </c>
      <c r="O512" s="20">
        <f>-(K512*0.025+L512*0.025)</f>
        <v/>
      </c>
      <c r="P512" s="20">
        <f>32</f>
        <v/>
      </c>
      <c r="Q512" s="20">
        <f>J512+L512+N512+O512-P512-M512</f>
        <v/>
      </c>
    </row>
    <row r="513">
      <c r="A513" s="19" t="inlineStr">
        <is>
          <t>5.8-5.14</t>
        </is>
      </c>
      <c r="B513" s="19" t="inlineStr">
        <is>
          <t>PO-128-17024724398710509</t>
        </is>
      </c>
      <c r="C513" s="19" t="inlineStr">
        <is>
          <t>Delivered</t>
        </is>
      </c>
      <c r="D513" s="19" t="inlineStr">
        <is>
          <t>128-17024846295670509</t>
        </is>
      </c>
      <c r="E513" s="19" t="inlineStr">
        <is>
          <t>Delivered</t>
        </is>
      </c>
      <c r="F513" s="19" t="inlineStr">
        <is>
          <t>BS-09</t>
        </is>
      </c>
      <c r="G513" s="19" t="inlineStr">
        <is>
          <t>Altavoz de barra para PC con iluminación RGB, sonido de alta fidelidad y múltiples conexiones: Bluetooth, radio FM, USB, TF, AUX y TWS. Ideal para juegos, reuniones y cine en casa.</t>
        </is>
      </c>
      <c r="H513" s="19" t="inlineStr">
        <is>
          <t>NEGRO</t>
        </is>
      </c>
      <c r="I513" s="19" t="n">
        <v>1</v>
      </c>
      <c r="J513" s="20" t="n">
        <v>120</v>
      </c>
      <c r="K513" s="20" t="n">
        <v>148.4</v>
      </c>
      <c r="L513" s="20" t="n">
        <v>0</v>
      </c>
      <c r="M513" s="20" t="n">
        <v>0</v>
      </c>
      <c r="N513" s="20">
        <f>K513*0.08+L513*0.08</f>
        <v/>
      </c>
      <c r="O513" s="20">
        <f>-(K513*0.025+L513*0.025)</f>
        <v/>
      </c>
      <c r="P513" s="20">
        <f>32</f>
        <v/>
      </c>
      <c r="Q513" s="20">
        <f>J513+L513+N513+O513-P513-M513</f>
        <v/>
      </c>
    </row>
    <row r="514">
      <c r="A514" s="19" t="inlineStr">
        <is>
          <t>5.8-5.14</t>
        </is>
      </c>
      <c r="B514" s="19" t="inlineStr">
        <is>
          <t>PO-128-16715050793592227</t>
        </is>
      </c>
      <c r="C514" s="19" t="inlineStr">
        <is>
          <t>Delivered</t>
        </is>
      </c>
      <c r="D514" s="19" t="inlineStr">
        <is>
          <t>128-16715095358072227</t>
        </is>
      </c>
      <c r="E514" s="19" t="inlineStr">
        <is>
          <t>Delivered</t>
        </is>
      </c>
      <c r="F514" s="19" t="inlineStr">
        <is>
          <t>BS-01</t>
        </is>
      </c>
      <c r="G51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4" s="19" t="inlineStr">
        <is>
          <t>BS-01</t>
        </is>
      </c>
      <c r="I514" s="19" t="n">
        <v>1</v>
      </c>
      <c r="J514" s="20" t="n">
        <v>218</v>
      </c>
      <c r="K514" s="20" t="n">
        <v>247.06</v>
      </c>
      <c r="L514" s="20" t="n">
        <v>0</v>
      </c>
      <c r="M514" s="20" t="n">
        <v>0</v>
      </c>
      <c r="N514" s="20">
        <f>K514*0.08+L514*0.08</f>
        <v/>
      </c>
      <c r="O514" s="20">
        <f>-(K514*0.025+L514*0.025)</f>
        <v/>
      </c>
      <c r="P514" s="20">
        <f>32</f>
        <v/>
      </c>
      <c r="Q514" s="20">
        <f>J514+L514+N514+O514-P514-M514</f>
        <v/>
      </c>
    </row>
    <row r="515">
      <c r="A515" s="19" t="inlineStr">
        <is>
          <t>5.8-5.14</t>
        </is>
      </c>
      <c r="B515" s="19" t="inlineStr">
        <is>
          <t>PO-128-16715050793592227</t>
        </is>
      </c>
      <c r="C515" s="19" t="inlineStr">
        <is>
          <t>Delivered</t>
        </is>
      </c>
      <c r="D515" s="19" t="inlineStr">
        <is>
          <t>128-16715113708152227</t>
        </is>
      </c>
      <c r="E515" s="19" t="inlineStr">
        <is>
          <t>Delivered</t>
        </is>
      </c>
      <c r="F515" s="19" t="inlineStr">
        <is>
          <t>IE03CN</t>
        </is>
      </c>
      <c r="G515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515" s="19" t="inlineStr">
        <is>
          <t>NEGRO</t>
        </is>
      </c>
      <c r="I515" s="19" t="n">
        <v>3</v>
      </c>
      <c r="J515" s="20" t="n">
        <v>90</v>
      </c>
      <c r="K515" s="20" t="n">
        <v>114.33</v>
      </c>
      <c r="L515" s="20" t="n">
        <v>0</v>
      </c>
      <c r="M515" s="20" t="n">
        <v>0</v>
      </c>
      <c r="N515" s="20">
        <f>K515*0.08+L515*0.08</f>
        <v/>
      </c>
      <c r="O515" s="20">
        <f>-(K515*0.025+L515*0.025)</f>
        <v/>
      </c>
      <c r="P515" s="20">
        <f>32</f>
        <v/>
      </c>
      <c r="Q515" s="20">
        <f>J515+L515+N515+O515-P515-M515</f>
        <v/>
      </c>
    </row>
    <row r="516">
      <c r="A516" s="19" t="inlineStr">
        <is>
          <t>5.8-5.14</t>
        </is>
      </c>
      <c r="B516" s="19" t="inlineStr">
        <is>
          <t>PO-128-16715050793592227</t>
        </is>
      </c>
      <c r="C516" s="19" t="inlineStr">
        <is>
          <t>Delivered</t>
        </is>
      </c>
      <c r="D516" s="19" t="inlineStr">
        <is>
          <t>128-16715103222392227</t>
        </is>
      </c>
      <c r="E516" s="19" t="inlineStr">
        <is>
          <t>Delivered</t>
        </is>
      </c>
      <c r="F516" s="19" t="inlineStr">
        <is>
          <t>BS-09</t>
        </is>
      </c>
      <c r="G516" s="19" t="inlineStr">
        <is>
          <t>Altavoz de barra para PC con iluminación RGB, sonido de alta fidelidad y múltiples conexiones: Bluetooth, radio FM, USB, TF, AUX y TWS. Ideal para juegos, reuniones y cine en casa.</t>
        </is>
      </c>
      <c r="H516" s="19" t="inlineStr">
        <is>
          <t>NEGRO</t>
        </is>
      </c>
      <c r="I516" s="19" t="n">
        <v>1</v>
      </c>
      <c r="J516" s="20" t="n">
        <v>120</v>
      </c>
      <c r="K516" s="20" t="n">
        <v>142.87</v>
      </c>
      <c r="L516" s="20" t="n">
        <v>0</v>
      </c>
      <c r="M516" s="20" t="n">
        <v>0</v>
      </c>
      <c r="N516" s="20">
        <f>K516*0.08+L516*0.08</f>
        <v/>
      </c>
      <c r="O516" s="20">
        <f>-(K516*0.025+L516*0.025)</f>
        <v/>
      </c>
      <c r="P516" s="20">
        <f>32</f>
        <v/>
      </c>
      <c r="Q516" s="20">
        <f>J516+L516+N516+O516-P516-M516</f>
        <v/>
      </c>
    </row>
    <row r="517">
      <c r="A517" s="19" t="inlineStr">
        <is>
          <t>5.8-5.14</t>
        </is>
      </c>
      <c r="B517" s="19" t="inlineStr">
        <is>
          <t>PO-128-17129983058550840</t>
        </is>
      </c>
      <c r="C517" s="19" t="inlineStr">
        <is>
          <t>Delivered</t>
        </is>
      </c>
      <c r="D517" s="19" t="inlineStr">
        <is>
          <t>128-17130004030070840</t>
        </is>
      </c>
      <c r="E517" s="19" t="inlineStr">
        <is>
          <t>Delivered</t>
        </is>
      </c>
      <c r="F517" s="19" t="inlineStr">
        <is>
          <t>S-10302</t>
        </is>
      </c>
      <c r="G517" s="19" t="inlineStr">
        <is>
          <t>AEK CYBER Altavoz Bluetooth Portátil con Sonido Hi-Fi, Luces de Baile RGB, Conexión TWS y Radio FM, Multifuncional para KTV/Aire Libre/Fiestas, Diseño Compacto con Soporte para Teléfono</t>
        </is>
      </c>
      <c r="H517" s="19" t="inlineStr">
        <is>
          <t>s-10302</t>
        </is>
      </c>
      <c r="I517" s="19" t="n">
        <v>1</v>
      </c>
      <c r="J517" s="20" t="n">
        <v>60.34</v>
      </c>
      <c r="K517" s="20" t="n">
        <v>72.22</v>
      </c>
      <c r="L517" s="20" t="n">
        <v>25.86</v>
      </c>
      <c r="M517" s="20" t="n">
        <v>0</v>
      </c>
      <c r="N517" s="20">
        <f>K517*0.08+L517*0.08</f>
        <v/>
      </c>
      <c r="O517" s="20">
        <f>-(K517*0.025+L517*0.025)</f>
        <v/>
      </c>
      <c r="P517" s="20">
        <f>32</f>
        <v/>
      </c>
      <c r="Q517" s="20">
        <f>J517+L517+N517+O517-P517-M517</f>
        <v/>
      </c>
    </row>
    <row r="518">
      <c r="A518" s="19" t="inlineStr">
        <is>
          <t>5.8-5.14</t>
        </is>
      </c>
      <c r="B518" s="19" t="inlineStr">
        <is>
          <t>PO-128-05595979377274052</t>
        </is>
      </c>
      <c r="C518" s="19" t="inlineStr">
        <is>
          <t>Delivered</t>
        </is>
      </c>
      <c r="D518" s="19" t="inlineStr">
        <is>
          <t>128-05596000348794052</t>
        </is>
      </c>
      <c r="E518" s="19" t="inlineStr">
        <is>
          <t>Delivered</t>
        </is>
      </c>
      <c r="F518" s="19" t="inlineStr">
        <is>
          <t>BS-09</t>
        </is>
      </c>
      <c r="G518" s="19" t="inlineStr">
        <is>
          <t>Altavoz de barra para PC con iluminación RGB, sonido de alta fidelidad y múltiples conexiones: Bluetooth, radio FM, USB, TF, AUX y TWS. Ideal para juegos, reuniones y cine en casa.</t>
        </is>
      </c>
      <c r="H518" s="19" t="inlineStr">
        <is>
          <t>NEGRO</t>
        </is>
      </c>
      <c r="I518" s="19" t="n">
        <v>1</v>
      </c>
      <c r="J518" s="20" t="n">
        <v>120</v>
      </c>
      <c r="K518" s="20" t="n">
        <v>133.56</v>
      </c>
      <c r="L518" s="20" t="n">
        <v>25.86</v>
      </c>
      <c r="M518" s="20" t="n">
        <v>0</v>
      </c>
      <c r="N518" s="20">
        <f>K518*0.08+L518*0.08</f>
        <v/>
      </c>
      <c r="O518" s="20">
        <f>-(K518*0.025+L518*0.025)</f>
        <v/>
      </c>
      <c r="P518" s="20">
        <f>32</f>
        <v/>
      </c>
      <c r="Q518" s="20">
        <f>J518+L518+N518+O518-P518-M518</f>
        <v/>
      </c>
    </row>
    <row r="519">
      <c r="A519" s="19" t="inlineStr">
        <is>
          <t>5.8-5.14</t>
        </is>
      </c>
      <c r="B519" s="19" t="inlineStr">
        <is>
          <t>PO-128-05505327411833504</t>
        </is>
      </c>
      <c r="C519" s="19" t="inlineStr">
        <is>
          <t>Delivered</t>
        </is>
      </c>
      <c r="D519" s="19" t="inlineStr">
        <is>
          <t>128-05505369354873504</t>
        </is>
      </c>
      <c r="E519" s="19" t="inlineStr">
        <is>
          <t>Delivered</t>
        </is>
      </c>
      <c r="F519" s="19" t="inlineStr">
        <is>
          <t>BS-01</t>
        </is>
      </c>
      <c r="G51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9" s="19" t="inlineStr">
        <is>
          <t>BS-01</t>
        </is>
      </c>
      <c r="I519" s="19" t="n">
        <v>1</v>
      </c>
      <c r="J519" s="20" t="n">
        <v>218</v>
      </c>
      <c r="K519" s="20" t="n">
        <v>256.61</v>
      </c>
      <c r="L519" s="20" t="n">
        <v>25.86</v>
      </c>
      <c r="M519" s="20" t="n">
        <v>0</v>
      </c>
      <c r="N519" s="20">
        <f>K519*0.08+L519*0.08</f>
        <v/>
      </c>
      <c r="O519" s="20">
        <f>-(K519*0.025+L519*0.025)</f>
        <v/>
      </c>
      <c r="P519" s="20">
        <f>32</f>
        <v/>
      </c>
      <c r="Q519" s="20">
        <f>J519+L519+N519+O519-P519-M519</f>
        <v/>
      </c>
    </row>
    <row r="520">
      <c r="A520" s="19" t="inlineStr">
        <is>
          <t>5.8-5.14</t>
        </is>
      </c>
      <c r="B520" s="19" t="inlineStr">
        <is>
          <t>PO-128-05801192919672703</t>
        </is>
      </c>
      <c r="C520" s="19" t="inlineStr">
        <is>
          <t>Delivered</t>
        </is>
      </c>
      <c r="D520" s="19" t="inlineStr">
        <is>
          <t>128-05801150976632703</t>
        </is>
      </c>
      <c r="E520" s="19" t="inlineStr">
        <is>
          <t>Delivered</t>
        </is>
      </c>
      <c r="F520" s="19" t="inlineStr">
        <is>
          <t>BS-01</t>
        </is>
      </c>
      <c r="G52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0" s="19" t="inlineStr">
        <is>
          <t>BS-01</t>
        </is>
      </c>
      <c r="I520" s="19" t="n">
        <v>1</v>
      </c>
      <c r="J520" s="20" t="n">
        <v>218</v>
      </c>
      <c r="K520" s="20" t="n">
        <v>218.12</v>
      </c>
      <c r="L520" s="20" t="n">
        <v>25.86</v>
      </c>
      <c r="M520" s="20" t="n">
        <v>0</v>
      </c>
      <c r="N520" s="20">
        <f>K520*0.08+L520*0.08</f>
        <v/>
      </c>
      <c r="O520" s="20">
        <f>-(K520*0.025+L520*0.025)</f>
        <v/>
      </c>
      <c r="P520" s="20">
        <f>32</f>
        <v/>
      </c>
      <c r="Q520" s="20">
        <f>J520+L520+N520+O520-P520-M520</f>
        <v/>
      </c>
    </row>
    <row r="521">
      <c r="A521" s="19" t="inlineStr">
        <is>
          <t>5.8-5.14</t>
        </is>
      </c>
      <c r="B521" s="19" t="inlineStr">
        <is>
          <t>PO-128-05946258084472028</t>
        </is>
      </c>
      <c r="C521" s="19" t="inlineStr">
        <is>
          <t>Delivered</t>
        </is>
      </c>
      <c r="D521" s="19" t="inlineStr">
        <is>
          <t>128-05946300027512028</t>
        </is>
      </c>
      <c r="E521" s="19" t="inlineStr">
        <is>
          <t>Delivered</t>
        </is>
      </c>
      <c r="F521" s="19" t="inlineStr">
        <is>
          <t>BS-01</t>
        </is>
      </c>
      <c r="G52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1" s="19" t="inlineStr">
        <is>
          <t>BS-01</t>
        </is>
      </c>
      <c r="I521" s="19" t="n">
        <v>1</v>
      </c>
      <c r="J521" s="20" t="n">
        <v>218</v>
      </c>
      <c r="K521" s="20" t="n">
        <v>213.51</v>
      </c>
      <c r="L521" s="20" t="n">
        <v>25.86</v>
      </c>
      <c r="M521" s="20" t="n">
        <v>0</v>
      </c>
      <c r="N521" s="20">
        <f>K521*0.08+L521*0.08</f>
        <v/>
      </c>
      <c r="O521" s="20">
        <f>-(K521*0.025+L521*0.025)</f>
        <v/>
      </c>
      <c r="P521" s="20">
        <f>32</f>
        <v/>
      </c>
      <c r="Q521" s="20">
        <f>J521+L521+N521+O521-P521-M521</f>
        <v/>
      </c>
    </row>
    <row r="522">
      <c r="A522" s="19" t="inlineStr">
        <is>
          <t>5.8-5.14</t>
        </is>
      </c>
      <c r="B522" s="19" t="inlineStr">
        <is>
          <t>PO-128-05953449462391795</t>
        </is>
      </c>
      <c r="C522" s="19" t="inlineStr">
        <is>
          <t>Delivered</t>
        </is>
      </c>
      <c r="D522" s="19" t="inlineStr">
        <is>
          <t>128-05953418005111795</t>
        </is>
      </c>
      <c r="E522" s="19" t="inlineStr">
        <is>
          <t>Delivered</t>
        </is>
      </c>
      <c r="F522" s="19" t="inlineStr">
        <is>
          <t>BS-01</t>
        </is>
      </c>
      <c r="G52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2" s="19" t="inlineStr">
        <is>
          <t>BS-01</t>
        </is>
      </c>
      <c r="I522" s="19" t="n">
        <v>1</v>
      </c>
      <c r="J522" s="20" t="n">
        <v>218</v>
      </c>
      <c r="K522" s="20" t="n">
        <v>256.61</v>
      </c>
      <c r="L522" s="20" t="n">
        <v>25.86</v>
      </c>
      <c r="M522" s="20" t="n">
        <v>0</v>
      </c>
      <c r="N522" s="20">
        <f>K522*0.08+L522*0.08</f>
        <v/>
      </c>
      <c r="O522" s="20">
        <f>-(K522*0.025+L522*0.025)</f>
        <v/>
      </c>
      <c r="P522" s="20">
        <f>32</f>
        <v/>
      </c>
      <c r="Q522" s="20">
        <f>J522+L522+N522+O522-P522-M522</f>
        <v/>
      </c>
    </row>
    <row r="523">
      <c r="A523" s="19" t="inlineStr">
        <is>
          <t>5.8-5.14</t>
        </is>
      </c>
      <c r="B523" s="19" t="inlineStr">
        <is>
          <t>PO-128-05668132439673686</t>
        </is>
      </c>
      <c r="C523" s="19" t="inlineStr">
        <is>
          <t>Delivered</t>
        </is>
      </c>
      <c r="D523" s="19" t="inlineStr">
        <is>
          <t>128-05668153411193686</t>
        </is>
      </c>
      <c r="E523" s="19" t="inlineStr">
        <is>
          <t>Delivered</t>
        </is>
      </c>
      <c r="F523" s="19" t="inlineStr">
        <is>
          <t>BS-01</t>
        </is>
      </c>
      <c r="G52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3" s="19" t="inlineStr">
        <is>
          <t>BS-01</t>
        </is>
      </c>
      <c r="I523" s="19" t="n">
        <v>1</v>
      </c>
      <c r="J523" s="20" t="n">
        <v>218</v>
      </c>
      <c r="K523" s="20" t="n">
        <v>205.29</v>
      </c>
      <c r="L523" s="20" t="n">
        <v>25.86</v>
      </c>
      <c r="M523" s="20" t="n">
        <v>0</v>
      </c>
      <c r="N523" s="20">
        <f>K523*0.08+L523*0.08</f>
        <v/>
      </c>
      <c r="O523" s="20">
        <f>-(K523*0.025+L523*0.025)</f>
        <v/>
      </c>
      <c r="P523" s="20">
        <f>32</f>
        <v/>
      </c>
      <c r="Q523" s="20">
        <f>J523+L523+N523+O523-P523-M523</f>
        <v/>
      </c>
    </row>
    <row r="524">
      <c r="A524" s="19" t="inlineStr">
        <is>
          <t>5.8-5.14</t>
        </is>
      </c>
      <c r="B524" s="19" t="inlineStr">
        <is>
          <t>PO-128-05789357077112901</t>
        </is>
      </c>
      <c r="C524" s="19" t="inlineStr">
        <is>
          <t>Delivered</t>
        </is>
      </c>
      <c r="D524" s="19" t="inlineStr">
        <is>
          <t>128-05789397054072901</t>
        </is>
      </c>
      <c r="E524" s="19" t="inlineStr">
        <is>
          <t>Delivered</t>
        </is>
      </c>
      <c r="F524" s="19" t="inlineStr">
        <is>
          <t>BS-01</t>
        </is>
      </c>
      <c r="G52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4" s="19" t="inlineStr">
        <is>
          <t>BS-01</t>
        </is>
      </c>
      <c r="I524" s="19" t="n">
        <v>1</v>
      </c>
      <c r="J524" s="20" t="n">
        <v>219</v>
      </c>
      <c r="K524" s="20" t="n">
        <v>257.61</v>
      </c>
      <c r="L524" s="20" t="n">
        <v>25.86</v>
      </c>
      <c r="M524" s="20" t="n">
        <v>0</v>
      </c>
      <c r="N524" s="20">
        <f>K524*0.08+L524*0.08</f>
        <v/>
      </c>
      <c r="O524" s="20">
        <f>-(K524*0.025+L524*0.025)</f>
        <v/>
      </c>
      <c r="P524" s="20">
        <f>32</f>
        <v/>
      </c>
      <c r="Q524" s="20">
        <f>J524+L524+N524+O524-P524-M524</f>
        <v/>
      </c>
    </row>
    <row r="525">
      <c r="A525" s="19" t="inlineStr">
        <is>
          <t>5.8-5.14</t>
        </is>
      </c>
      <c r="B525" s="19" t="inlineStr">
        <is>
          <t>PO-128-05948468040312017</t>
        </is>
      </c>
      <c r="C525" s="19" t="inlineStr">
        <is>
          <t>Delivered</t>
        </is>
      </c>
      <c r="D525" s="19" t="inlineStr">
        <is>
          <t>128-05948489011832017</t>
        </is>
      </c>
      <c r="E525" s="19" t="inlineStr">
        <is>
          <t>Delivered</t>
        </is>
      </c>
      <c r="F525" s="19" t="inlineStr">
        <is>
          <t>BS-01</t>
        </is>
      </c>
      <c r="G52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5" s="19" t="inlineStr">
        <is>
          <t>BS-01</t>
        </is>
      </c>
      <c r="I525" s="19" t="n">
        <v>1</v>
      </c>
      <c r="J525" s="20" t="n">
        <v>219</v>
      </c>
      <c r="K525" s="20" t="n">
        <v>218.22</v>
      </c>
      <c r="L525" s="20" t="n">
        <v>25.86</v>
      </c>
      <c r="M525" s="20" t="n">
        <v>0</v>
      </c>
      <c r="N525" s="20">
        <f>K525*0.08+L525*0.08</f>
        <v/>
      </c>
      <c r="O525" s="20">
        <f>-(K525*0.025+L525*0.025)</f>
        <v/>
      </c>
      <c r="P525" s="20">
        <f>32</f>
        <v/>
      </c>
      <c r="Q525" s="20">
        <f>J525+L525+N525+O525-P525-M525</f>
        <v/>
      </c>
    </row>
    <row r="526">
      <c r="A526" s="19" t="inlineStr">
        <is>
          <t>5.8-5.14</t>
        </is>
      </c>
      <c r="B526" s="19" t="inlineStr">
        <is>
          <t>PO-128-05792122655352885</t>
        </is>
      </c>
      <c r="C526" s="19" t="inlineStr">
        <is>
          <t>Delivered</t>
        </is>
      </c>
      <c r="D526" s="19" t="inlineStr">
        <is>
          <t>128-05792154112632885</t>
        </is>
      </c>
      <c r="E526" s="19" t="inlineStr">
        <is>
          <t>Delivered</t>
        </is>
      </c>
      <c r="F526" s="19" t="inlineStr">
        <is>
          <t>BS-01</t>
        </is>
      </c>
      <c r="G52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6" s="19" t="inlineStr">
        <is>
          <t>BS-01</t>
        </is>
      </c>
      <c r="I526" s="19" t="n">
        <v>1</v>
      </c>
      <c r="J526" s="20" t="n">
        <v>219</v>
      </c>
      <c r="K526" s="20" t="n">
        <v>257.61</v>
      </c>
      <c r="L526" s="20" t="n">
        <v>25.86</v>
      </c>
      <c r="M526" s="20" t="n">
        <v>0</v>
      </c>
      <c r="N526" s="20">
        <f>K526*0.08+L526*0.08</f>
        <v/>
      </c>
      <c r="O526" s="20">
        <f>-(K526*0.025+L526*0.025)</f>
        <v/>
      </c>
      <c r="P526" s="20">
        <f>32</f>
        <v/>
      </c>
      <c r="Q526" s="20">
        <f>J526+L526+N526+O526-P526-M526</f>
        <v/>
      </c>
    </row>
    <row r="527">
      <c r="A527" s="19" t="inlineStr">
        <is>
          <t>5.8-5.14</t>
        </is>
      </c>
      <c r="B527" s="19" t="inlineStr">
        <is>
          <t>PO-128-06007668040311662</t>
        </is>
      </c>
      <c r="C527" s="19" t="inlineStr">
        <is>
          <t>Delivered</t>
        </is>
      </c>
      <c r="D527" s="19" t="inlineStr">
        <is>
          <t>128-06007615611511662</t>
        </is>
      </c>
      <c r="E527" s="19" t="inlineStr">
        <is>
          <t>Delivered</t>
        </is>
      </c>
      <c r="F527" s="19" t="inlineStr">
        <is>
          <t>IE01MB</t>
        </is>
      </c>
      <c r="G527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27" s="19" t="inlineStr">
        <is>
          <t>1 pieza</t>
        </is>
      </c>
      <c r="I527" s="19" t="n">
        <v>1</v>
      </c>
      <c r="J527" s="20" t="n">
        <v>22</v>
      </c>
      <c r="K527" s="20" t="n">
        <v>25.06</v>
      </c>
      <c r="L527" s="20" t="n">
        <v>25.86</v>
      </c>
      <c r="M527" s="20" t="n">
        <v>0</v>
      </c>
      <c r="N527" s="20">
        <f>K527*0.08+L527*0.08</f>
        <v/>
      </c>
      <c r="O527" s="20">
        <f>-(K527*0.025+L527*0.025)</f>
        <v/>
      </c>
      <c r="P527" s="20">
        <f>32</f>
        <v/>
      </c>
      <c r="Q527" s="20">
        <f>J527+L527+N527+O527-P527-M527</f>
        <v/>
      </c>
    </row>
    <row r="528">
      <c r="A528" s="19" t="inlineStr">
        <is>
          <t>5.8-5.14</t>
        </is>
      </c>
      <c r="B528" s="19" t="inlineStr">
        <is>
          <t>PO-128-06085738035830047</t>
        </is>
      </c>
      <c r="C528" s="19" t="inlineStr">
        <is>
          <t>Delivered</t>
        </is>
      </c>
      <c r="D528" s="19" t="inlineStr">
        <is>
          <t>128-06085696092790047</t>
        </is>
      </c>
      <c r="E528" s="19" t="inlineStr">
        <is>
          <t>Delivered</t>
        </is>
      </c>
      <c r="F528" s="19" t="inlineStr">
        <is>
          <t>BS-01</t>
        </is>
      </c>
      <c r="G52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8" s="19" t="inlineStr">
        <is>
          <t>BS-01</t>
        </is>
      </c>
      <c r="I528" s="19" t="n">
        <v>1</v>
      </c>
      <c r="J528" s="20" t="n">
        <v>219</v>
      </c>
      <c r="K528" s="20" t="n">
        <v>214.51</v>
      </c>
      <c r="L528" s="20" t="n">
        <v>25.86</v>
      </c>
      <c r="M528" s="20" t="n">
        <v>0</v>
      </c>
      <c r="N528" s="20">
        <f>K528*0.08+L528*0.08</f>
        <v/>
      </c>
      <c r="O528" s="20">
        <f>-(K528*0.025+L528*0.025)</f>
        <v/>
      </c>
      <c r="P528" s="20">
        <f>32</f>
        <v/>
      </c>
      <c r="Q528" s="20">
        <f>J528+L528+N528+O528-P528-M528</f>
        <v/>
      </c>
    </row>
    <row r="529">
      <c r="A529" s="19" t="inlineStr">
        <is>
          <t>5.8-5.14</t>
        </is>
      </c>
      <c r="B529" s="19" t="inlineStr">
        <is>
          <t>PO-128-06022622085750423</t>
        </is>
      </c>
      <c r="C529" s="19" t="inlineStr">
        <is>
          <t>Delivered</t>
        </is>
      </c>
      <c r="D529" s="19" t="inlineStr">
        <is>
          <t>128-06022643057270423</t>
        </is>
      </c>
      <c r="E529" s="19" t="inlineStr">
        <is>
          <t>Delivered</t>
        </is>
      </c>
      <c r="F529" s="19" t="inlineStr">
        <is>
          <t>IE01MB</t>
        </is>
      </c>
      <c r="G529" s="19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29" s="19" t="inlineStr">
        <is>
          <t>1 pieza</t>
        </is>
      </c>
      <c r="I529" s="19" t="n">
        <v>1</v>
      </c>
      <c r="J529" s="20" t="n">
        <v>22</v>
      </c>
      <c r="K529" s="20" t="n">
        <v>9.58</v>
      </c>
      <c r="L529" s="20" t="n">
        <v>25.86</v>
      </c>
      <c r="M529" s="20" t="n">
        <v>0.01</v>
      </c>
      <c r="N529" s="20">
        <f>K529*0.08+L529*0.08</f>
        <v/>
      </c>
      <c r="O529" s="20">
        <f>-(K529*0.025+L529*0.025)</f>
        <v/>
      </c>
      <c r="P529" s="20">
        <f>32</f>
        <v/>
      </c>
      <c r="Q529" s="20">
        <f>J529+L529+N529+O529-P529-M529</f>
        <v/>
      </c>
    </row>
    <row r="530">
      <c r="A530" s="19" t="inlineStr">
        <is>
          <t>5.8-5.14</t>
        </is>
      </c>
      <c r="B530" s="19" t="inlineStr">
        <is>
          <t>PO-128-11190921252472321</t>
        </is>
      </c>
      <c r="C530" s="19" t="inlineStr">
        <is>
          <t>Delivered</t>
        </is>
      </c>
      <c r="D530" s="19" t="inlineStr">
        <is>
          <t>128-11190931738232321</t>
        </is>
      </c>
      <c r="E530" s="19" t="inlineStr">
        <is>
          <t>Delivered</t>
        </is>
      </c>
      <c r="F530" s="19" t="inlineStr">
        <is>
          <t>BS-01</t>
        </is>
      </c>
      <c r="G53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0" s="19" t="inlineStr">
        <is>
          <t>BS-01</t>
        </is>
      </c>
      <c r="I530" s="19" t="n">
        <v>1</v>
      </c>
      <c r="J530" s="20" t="n">
        <v>219</v>
      </c>
      <c r="K530" s="20" t="n">
        <v>240.66</v>
      </c>
      <c r="L530" s="20" t="n">
        <v>25.86</v>
      </c>
      <c r="M530" s="20" t="n">
        <v>0</v>
      </c>
      <c r="N530" s="20">
        <f>K530*0.08+L530*0.08</f>
        <v/>
      </c>
      <c r="O530" s="20">
        <f>-(K530*0.025+L530*0.025)</f>
        <v/>
      </c>
      <c r="P530" s="20">
        <f>32</f>
        <v/>
      </c>
      <c r="Q530" s="20">
        <f>J530+L530+N530+O530-P530-M530</f>
        <v/>
      </c>
    </row>
    <row r="531">
      <c r="A531" s="19" t="inlineStr">
        <is>
          <t>5.8-5.14</t>
        </is>
      </c>
      <c r="B531" s="19" t="inlineStr">
        <is>
          <t>PO-128-11541113503350296</t>
        </is>
      </c>
      <c r="C531" s="19" t="inlineStr">
        <is>
          <t>Delivered</t>
        </is>
      </c>
      <c r="D531" s="19" t="inlineStr">
        <is>
          <t>128-11541092531830296</t>
        </is>
      </c>
      <c r="E531" s="19" t="inlineStr">
        <is>
          <t>Delivered</t>
        </is>
      </c>
      <c r="F531" s="19" t="inlineStr">
        <is>
          <t>BS-01</t>
        </is>
      </c>
      <c r="G53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1" s="19" t="inlineStr">
        <is>
          <t>BS-01</t>
        </is>
      </c>
      <c r="I531" s="19" t="n">
        <v>1</v>
      </c>
      <c r="J531" s="20" t="n">
        <v>219</v>
      </c>
      <c r="K531" s="20" t="n">
        <v>257.61</v>
      </c>
      <c r="L531" s="20" t="n">
        <v>25.86</v>
      </c>
      <c r="M531" s="20" t="n">
        <v>0</v>
      </c>
      <c r="N531" s="20">
        <f>K531*0.08+L531*0.08</f>
        <v/>
      </c>
      <c r="O531" s="20">
        <f>-(K531*0.025+L531*0.025)</f>
        <v/>
      </c>
      <c r="P531" s="20">
        <f>32</f>
        <v/>
      </c>
      <c r="Q531" s="20">
        <f>J531+L531+N531+O531-P531-M531</f>
        <v/>
      </c>
    </row>
    <row r="532">
      <c r="A532" s="19" t="inlineStr">
        <is>
          <t>5.8-5.14</t>
        </is>
      </c>
      <c r="B532" s="19" t="inlineStr">
        <is>
          <t>PO-128-11518990769270428</t>
        </is>
      </c>
      <c r="C532" s="19" t="inlineStr">
        <is>
          <t>Delivered</t>
        </is>
      </c>
      <c r="D532" s="19" t="inlineStr">
        <is>
          <t>128-11518996012150428</t>
        </is>
      </c>
      <c r="E532" s="19" t="inlineStr">
        <is>
          <t>Delivered</t>
        </is>
      </c>
      <c r="F532" s="19" t="inlineStr">
        <is>
          <t>BS-01</t>
        </is>
      </c>
      <c r="G53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2" s="19" t="inlineStr">
        <is>
          <t>BS-01</t>
        </is>
      </c>
      <c r="I532" s="19" t="n">
        <v>1</v>
      </c>
      <c r="J532" s="20" t="n">
        <v>219</v>
      </c>
      <c r="K532" s="20" t="n">
        <v>257.61</v>
      </c>
      <c r="L532" s="20" t="n">
        <v>25.86</v>
      </c>
      <c r="M532" s="20" t="n">
        <v>0</v>
      </c>
      <c r="N532" s="20">
        <f>K532*0.08+L532*0.08</f>
        <v/>
      </c>
      <c r="O532" s="20">
        <f>-(K532*0.025+L532*0.025)</f>
        <v/>
      </c>
      <c r="P532" s="20">
        <f>32</f>
        <v/>
      </c>
      <c r="Q532" s="20">
        <f>J532+L532+N532+O532-P532-M532</f>
        <v/>
      </c>
    </row>
    <row r="533">
      <c r="A533" s="19" t="inlineStr">
        <is>
          <t>5.8-5.14</t>
        </is>
      </c>
      <c r="B533" s="19" t="inlineStr">
        <is>
          <t>PO-128-10999441984633463</t>
        </is>
      </c>
      <c r="C533" s="19" t="inlineStr">
        <is>
          <t>Delivered</t>
        </is>
      </c>
      <c r="D533" s="19" t="inlineStr">
        <is>
          <t>128-10999468199033463</t>
        </is>
      </c>
      <c r="E533" s="19" t="inlineStr">
        <is>
          <t>Delivered</t>
        </is>
      </c>
      <c r="F533" s="19" t="inlineStr">
        <is>
          <t>BS-01</t>
        </is>
      </c>
      <c r="G53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3" s="19" t="inlineStr">
        <is>
          <t>BS-01</t>
        </is>
      </c>
      <c r="I533" s="19" t="n">
        <v>1</v>
      </c>
      <c r="J533" s="20" t="n">
        <v>219</v>
      </c>
      <c r="K533" s="20" t="n">
        <v>230.93</v>
      </c>
      <c r="L533" s="20" t="n">
        <v>25.86</v>
      </c>
      <c r="M533" s="20" t="n">
        <v>0</v>
      </c>
      <c r="N533" s="20">
        <f>K533*0.08+L533*0.08</f>
        <v/>
      </c>
      <c r="O533" s="20">
        <f>-(K533*0.025+L533*0.025)</f>
        <v/>
      </c>
      <c r="P533" s="20">
        <f>32</f>
        <v/>
      </c>
      <c r="Q533" s="20">
        <f>J533+L533+N533+O533-P533-M533</f>
        <v/>
      </c>
    </row>
    <row r="534">
      <c r="A534" s="19" t="inlineStr">
        <is>
          <t>5.8-5.14</t>
        </is>
      </c>
      <c r="B534" s="19" t="inlineStr">
        <is>
          <t>PO-128-11406623841911034</t>
        </is>
      </c>
      <c r="C534" s="19" t="inlineStr">
        <is>
          <t>Delivered</t>
        </is>
      </c>
      <c r="D534" s="19" t="inlineStr">
        <is>
          <t>128-11406581898871034</t>
        </is>
      </c>
      <c r="E534" s="19" t="inlineStr">
        <is>
          <t>Delivered</t>
        </is>
      </c>
      <c r="F534" s="19" t="inlineStr">
        <is>
          <t>BS-01</t>
        </is>
      </c>
      <c r="G53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4" s="19" t="inlineStr">
        <is>
          <t>BS-01</t>
        </is>
      </c>
      <c r="I534" s="19" t="n">
        <v>1</v>
      </c>
      <c r="J534" s="20" t="n">
        <v>219</v>
      </c>
      <c r="K534" s="20" t="n">
        <v>257.61</v>
      </c>
      <c r="L534" s="20" t="n">
        <v>25.86</v>
      </c>
      <c r="M534" s="20" t="n">
        <v>0</v>
      </c>
      <c r="N534" s="20">
        <f>K534*0.08+L534*0.08</f>
        <v/>
      </c>
      <c r="O534" s="20">
        <f>-(K534*0.025+L534*0.025)</f>
        <v/>
      </c>
      <c r="P534" s="20">
        <f>32</f>
        <v/>
      </c>
      <c r="Q534" s="20">
        <f>J534+L534+N534+O534-P534-M534</f>
        <v/>
      </c>
    </row>
    <row r="535">
      <c r="A535" s="19" t="inlineStr">
        <is>
          <t>5.8-5.14</t>
        </is>
      </c>
      <c r="B535" s="19" t="inlineStr">
        <is>
          <t>PO-128-11441681024632043</t>
        </is>
      </c>
      <c r="C535" s="19" t="inlineStr">
        <is>
          <t>Delivered</t>
        </is>
      </c>
      <c r="D535" s="19" t="inlineStr">
        <is>
          <t>128-11441701996152043</t>
        </is>
      </c>
      <c r="E535" s="19" t="inlineStr">
        <is>
          <t>Delivered</t>
        </is>
      </c>
      <c r="F535" s="19" t="inlineStr">
        <is>
          <t>BS-01</t>
        </is>
      </c>
      <c r="G53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5" s="19" t="inlineStr">
        <is>
          <t>BS-01</t>
        </is>
      </c>
      <c r="I535" s="19" t="n">
        <v>1</v>
      </c>
      <c r="J535" s="20" t="n">
        <v>219</v>
      </c>
      <c r="K535" s="20" t="n">
        <v>257.61</v>
      </c>
      <c r="L535" s="20" t="n">
        <v>25.86</v>
      </c>
      <c r="M535" s="20" t="n">
        <v>0</v>
      </c>
      <c r="N535" s="20">
        <f>K535*0.08+L535*0.08</f>
        <v/>
      </c>
      <c r="O535" s="20">
        <f>-(K535*0.025+L535*0.025)</f>
        <v/>
      </c>
      <c r="P535" s="20">
        <f>32</f>
        <v/>
      </c>
      <c r="Q535" s="20">
        <f>J535+L535+N535+O535-P535-M535</f>
        <v/>
      </c>
    </row>
    <row r="536">
      <c r="A536" s="19" t="inlineStr">
        <is>
          <t>5.8-5.14</t>
        </is>
      </c>
      <c r="B536" s="19" t="inlineStr">
        <is>
          <t>PO-128-11613352123511018</t>
        </is>
      </c>
      <c r="C536" s="19" t="inlineStr">
        <is>
          <t>Delivered</t>
        </is>
      </c>
      <c r="D536" s="19" t="inlineStr">
        <is>
          <t>128-11613331151991018</t>
        </is>
      </c>
      <c r="E536" s="19" t="inlineStr">
        <is>
          <t>Delivered</t>
        </is>
      </c>
      <c r="F536" s="19" t="inlineStr">
        <is>
          <t>BS-01</t>
        </is>
      </c>
      <c r="G53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6" s="19" t="inlineStr">
        <is>
          <t>BS-01</t>
        </is>
      </c>
      <c r="I536" s="19" t="n">
        <v>1</v>
      </c>
      <c r="J536" s="20" t="n">
        <v>219</v>
      </c>
      <c r="K536" s="20" t="n">
        <v>218.97</v>
      </c>
      <c r="L536" s="20" t="n">
        <v>25.86</v>
      </c>
      <c r="M536" s="20" t="n">
        <v>0</v>
      </c>
      <c r="N536" s="20">
        <f>K536*0.08+L536*0.08</f>
        <v/>
      </c>
      <c r="O536" s="20">
        <f>-(K536*0.025+L536*0.025)</f>
        <v/>
      </c>
      <c r="P536" s="20">
        <f>32</f>
        <v/>
      </c>
      <c r="Q536" s="20">
        <f>J536+L536+N536+O536-P536-M536</f>
        <v/>
      </c>
    </row>
    <row r="537">
      <c r="A537" s="19" t="inlineStr">
        <is>
          <t>5.8-5.14</t>
        </is>
      </c>
      <c r="B537" s="19" t="inlineStr">
        <is>
          <t>PO-128-11203867548792370</t>
        </is>
      </c>
      <c r="C537" s="19" t="inlineStr">
        <is>
          <t>Delivered</t>
        </is>
      </c>
      <c r="D537" s="19" t="inlineStr">
        <is>
          <t>128-11203876068472370</t>
        </is>
      </c>
      <c r="E537" s="19" t="inlineStr">
        <is>
          <t>Delivered</t>
        </is>
      </c>
      <c r="F537" s="19" t="inlineStr">
        <is>
          <t>BS-09</t>
        </is>
      </c>
      <c r="G537" s="19" t="inlineStr">
        <is>
          <t>Altavoz de barra para PC con iluminación RGB, sonido de alta fidelidad y múltiples conexiones: Bluetooth, radio FM, USB, TF, AUX y TWS. Ideal para juegos, reuniones y cine en casa.</t>
        </is>
      </c>
      <c r="H537" s="19" t="inlineStr">
        <is>
          <t>NEGRO</t>
        </is>
      </c>
      <c r="I537" s="19" t="n">
        <v>1</v>
      </c>
      <c r="J537" s="20" t="n">
        <v>129.9</v>
      </c>
      <c r="K537" s="20" t="n">
        <v>154.92</v>
      </c>
      <c r="L537" s="20" t="n">
        <v>25.86</v>
      </c>
      <c r="M537" s="20" t="n">
        <v>0</v>
      </c>
      <c r="N537" s="20">
        <f>K537*0.08+L537*0.08</f>
        <v/>
      </c>
      <c r="O537" s="20">
        <f>-(K537*0.025+L537*0.025)</f>
        <v/>
      </c>
      <c r="P537" s="20">
        <f>32</f>
        <v/>
      </c>
      <c r="Q537" s="20">
        <f>J537+L537+N537+O537-P537-M537</f>
        <v/>
      </c>
    </row>
    <row r="538">
      <c r="A538" s="19" t="inlineStr">
        <is>
          <t>5.8-5.14</t>
        </is>
      </c>
      <c r="B538" s="19" t="inlineStr">
        <is>
          <t>PO-128-11624561802870825</t>
        </is>
      </c>
      <c r="C538" s="19" t="inlineStr">
        <is>
          <t>Delivered</t>
        </is>
      </c>
      <c r="D538" s="19" t="inlineStr">
        <is>
          <t>128-11624519859830825</t>
        </is>
      </c>
      <c r="E538" s="19" t="inlineStr">
        <is>
          <t>Delivered</t>
        </is>
      </c>
      <c r="F538" s="19" t="inlineStr">
        <is>
          <t>BS-01</t>
        </is>
      </c>
      <c r="G53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8" s="19" t="inlineStr">
        <is>
          <t>BS-01</t>
        </is>
      </c>
      <c r="I538" s="19" t="n">
        <v>1</v>
      </c>
      <c r="J538" s="20" t="n">
        <v>219</v>
      </c>
      <c r="K538" s="20" t="n">
        <v>257.61</v>
      </c>
      <c r="L538" s="20" t="n">
        <v>25.86</v>
      </c>
      <c r="M538" s="20" t="n">
        <v>0</v>
      </c>
      <c r="N538" s="20">
        <f>K538*0.08+L538*0.08</f>
        <v/>
      </c>
      <c r="O538" s="20">
        <f>-(K538*0.025+L538*0.025)</f>
        <v/>
      </c>
      <c r="P538" s="20">
        <f>32</f>
        <v/>
      </c>
      <c r="Q538" s="20">
        <f>J538+L538+N538+O538-P538-M538</f>
        <v/>
      </c>
    </row>
    <row r="539">
      <c r="A539" s="19" t="inlineStr">
        <is>
          <t>5.8-5.14</t>
        </is>
      </c>
      <c r="B539" s="19" t="inlineStr">
        <is>
          <t>PO-128-11550860631670366</t>
        </is>
      </c>
      <c r="C539" s="19" t="inlineStr">
        <is>
          <t>Delivered</t>
        </is>
      </c>
      <c r="D539" s="19" t="inlineStr">
        <is>
          <t>128-11550923546230366</t>
        </is>
      </c>
      <c r="E539" s="19" t="inlineStr">
        <is>
          <t>Delivered</t>
        </is>
      </c>
      <c r="F539" s="19" t="inlineStr">
        <is>
          <t>BS-09</t>
        </is>
      </c>
      <c r="G539" s="19" t="inlineStr">
        <is>
          <t>Altavoz de barra para PC con iluminación RGB, sonido de alta fidelidad y múltiples conexiones: Bluetooth, radio FM, USB, TF, AUX y TWS. Ideal para juegos, reuniones y cine en casa.</t>
        </is>
      </c>
      <c r="H539" s="19" t="inlineStr">
        <is>
          <t>NEGRO</t>
        </is>
      </c>
      <c r="I539" s="19" t="n">
        <v>2</v>
      </c>
      <c r="J539" s="20" t="n">
        <v>259.8</v>
      </c>
      <c r="K539" s="20" t="n">
        <v>316.58</v>
      </c>
      <c r="L539" s="20" t="n">
        <v>0</v>
      </c>
      <c r="M539" s="20" t="n">
        <v>0</v>
      </c>
      <c r="N539" s="20">
        <f>K539*0.08+L539*0.08</f>
        <v/>
      </c>
      <c r="O539" s="20">
        <f>-(K539*0.025+L539*0.025)</f>
        <v/>
      </c>
      <c r="P539" s="20">
        <f>32</f>
        <v/>
      </c>
      <c r="Q539" s="20">
        <f>J539+L539+N539+O539-P539-M539</f>
        <v/>
      </c>
    </row>
    <row r="540">
      <c r="A540" s="19" t="inlineStr">
        <is>
          <t>6.12-6.18</t>
        </is>
      </c>
      <c r="B540" s="19" t="inlineStr">
        <is>
          <t>PO-128-18447145923193615</t>
        </is>
      </c>
      <c r="C540" s="19" t="inlineStr">
        <is>
          <t>Shipped</t>
        </is>
      </c>
      <c r="D540" s="19" t="inlineStr">
        <is>
          <t>128-18447214080633615</t>
        </is>
      </c>
      <c r="E540" s="19" t="inlineStr">
        <is>
          <t>Shipped</t>
        </is>
      </c>
      <c r="F540" s="19" t="inlineStr">
        <is>
          <t>BS-01</t>
        </is>
      </c>
      <c r="G54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0" s="19" t="inlineStr">
        <is>
          <t>BS-01</t>
        </is>
      </c>
      <c r="I540" s="19" t="n">
        <v>1</v>
      </c>
      <c r="J540" s="20" t="n">
        <v>219</v>
      </c>
      <c r="K540" s="20" t="n">
        <v>257.6</v>
      </c>
      <c r="L540" s="20" t="n">
        <v>25.86</v>
      </c>
      <c r="M540" s="20" t="n">
        <v>0</v>
      </c>
      <c r="N540" s="20">
        <f>K540*0.08+L540*0.08</f>
        <v/>
      </c>
      <c r="O540" s="20">
        <f>-(K540*0.025+L540*0.025)</f>
        <v/>
      </c>
      <c r="P540" s="20">
        <f>32</f>
        <v/>
      </c>
      <c r="Q540" s="20">
        <f>J540+L540+N540+O540-P540-M540</f>
        <v/>
      </c>
    </row>
    <row r="541">
      <c r="A541" s="19" t="inlineStr">
        <is>
          <t>6.12-6.18</t>
        </is>
      </c>
      <c r="B541" s="19" t="inlineStr">
        <is>
          <t>PO-128-18397320161914038</t>
        </is>
      </c>
      <c r="C541" s="19" t="inlineStr">
        <is>
          <t>Shipped</t>
        </is>
      </c>
      <c r="D541" s="19" t="inlineStr">
        <is>
          <t>128-18397372590714038</t>
        </is>
      </c>
      <c r="E541" s="19" t="inlineStr">
        <is>
          <t>Shipped</t>
        </is>
      </c>
      <c r="F541" s="19" t="inlineStr">
        <is>
          <t>BS-01</t>
        </is>
      </c>
      <c r="G54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1" s="19" t="inlineStr">
        <is>
          <t>BS-01</t>
        </is>
      </c>
      <c r="I541" s="19" t="n">
        <v>1</v>
      </c>
      <c r="J541" s="20" t="n">
        <v>219</v>
      </c>
      <c r="K541" s="20" t="n">
        <v>196.44</v>
      </c>
      <c r="L541" s="20" t="n">
        <v>25.86</v>
      </c>
      <c r="M541" s="20" t="n">
        <v>0</v>
      </c>
      <c r="N541" s="20">
        <f>K541*0.08+L541*0.08</f>
        <v/>
      </c>
      <c r="O541" s="20">
        <f>-(K541*0.025+L541*0.025)</f>
        <v/>
      </c>
      <c r="P541" s="20">
        <f>32</f>
        <v/>
      </c>
      <c r="Q541" s="20">
        <f>J541+L541+N541+O541-P541-M541</f>
        <v/>
      </c>
    </row>
    <row r="542">
      <c r="A542" s="19" t="inlineStr">
        <is>
          <t>6.12-6.18</t>
        </is>
      </c>
      <c r="B542" s="19" t="inlineStr">
        <is>
          <t>PO-128-17875059927670945</t>
        </is>
      </c>
      <c r="C542" s="19" t="inlineStr">
        <is>
          <t>Shipped</t>
        </is>
      </c>
      <c r="D542" s="19" t="inlineStr">
        <is>
          <t>128-17875080899190945</t>
        </is>
      </c>
      <c r="E542" s="19" t="inlineStr">
        <is>
          <t>Shipped</t>
        </is>
      </c>
      <c r="F542" s="19" t="inlineStr">
        <is>
          <t>BS-01</t>
        </is>
      </c>
      <c r="G54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2" s="19" t="inlineStr">
        <is>
          <t>BS-01</t>
        </is>
      </c>
      <c r="I542" s="19" t="n">
        <v>1</v>
      </c>
      <c r="J542" s="20" t="n">
        <v>219</v>
      </c>
      <c r="K542" s="20" t="n">
        <v>257.6</v>
      </c>
      <c r="L542" s="20" t="n">
        <v>25.86</v>
      </c>
      <c r="M542" s="20" t="n">
        <v>0</v>
      </c>
      <c r="N542" s="20">
        <f>K542*0.08+L542*0.08</f>
        <v/>
      </c>
      <c r="O542" s="20">
        <f>-(K542*0.025+L542*0.025)</f>
        <v/>
      </c>
      <c r="P542" s="20">
        <f>32</f>
        <v/>
      </c>
      <c r="Q542" s="20">
        <f>J542+L542+N542+O542-P542-M542</f>
        <v/>
      </c>
    </row>
    <row r="543">
      <c r="A543" s="19" t="inlineStr">
        <is>
          <t>6.12-6.18</t>
        </is>
      </c>
      <c r="B543" s="19" t="inlineStr">
        <is>
          <t>PO-128-18384284109433988</t>
        </is>
      </c>
      <c r="C543" s="19" t="inlineStr">
        <is>
          <t>Shipped</t>
        </is>
      </c>
      <c r="D543" s="19" t="inlineStr">
        <is>
          <t>128-18384242166393988</t>
        </is>
      </c>
      <c r="E543" s="19" t="inlineStr">
        <is>
          <t>Shipped</t>
        </is>
      </c>
      <c r="F543" s="19" t="inlineStr">
        <is>
          <t>BS-01</t>
        </is>
      </c>
      <c r="G54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3" s="19" t="inlineStr">
        <is>
          <t>BS-01</t>
        </is>
      </c>
      <c r="I543" s="19" t="n">
        <v>1</v>
      </c>
      <c r="J543" s="20" t="n">
        <v>219</v>
      </c>
      <c r="K543" s="20" t="n">
        <v>257.6</v>
      </c>
      <c r="L543" s="20" t="n">
        <v>25.86</v>
      </c>
      <c r="M543" s="20" t="n">
        <v>0</v>
      </c>
      <c r="N543" s="20">
        <f>K543*0.08+L543*0.08</f>
        <v/>
      </c>
      <c r="O543" s="20">
        <f>-(K543*0.025+L543*0.025)</f>
        <v/>
      </c>
      <c r="P543" s="20">
        <f>32</f>
        <v/>
      </c>
      <c r="Q543" s="20">
        <f>J543+L543+N543+O543-P543-M543</f>
        <v/>
      </c>
    </row>
    <row r="544">
      <c r="A544" s="19" t="inlineStr">
        <is>
          <t>6.12-6.18</t>
        </is>
      </c>
      <c r="B544" s="19" t="inlineStr">
        <is>
          <t>PO-128-17946655355510580</t>
        </is>
      </c>
      <c r="C544" s="19" t="inlineStr">
        <is>
          <t>Shipped</t>
        </is>
      </c>
      <c r="D544" s="19" t="inlineStr">
        <is>
          <t>128-17946634383990580</t>
        </is>
      </c>
      <c r="E544" s="19" t="inlineStr">
        <is>
          <t>Shipped</t>
        </is>
      </c>
      <c r="F544" s="19" t="inlineStr">
        <is>
          <t>BS-07V</t>
        </is>
      </c>
      <c r="G544" s="19" t="inlineStr">
        <is>
          <t>Altavoz Inalámbrico Portátil con Diseño Retro, Bajos Optimizados y Sonido 3D Envolvente,Compatible con TF/FM/AUX, Conexión BT TWS. Ideal para Home Theater, Fiestas y Regalos​</t>
        </is>
      </c>
      <c r="H544" s="19" t="inlineStr">
        <is>
          <t>BS-07V</t>
        </is>
      </c>
      <c r="I544" s="19" t="n">
        <v>1</v>
      </c>
      <c r="J544" s="20" t="n">
        <v>133</v>
      </c>
      <c r="K544" s="20" t="n">
        <v>151.68</v>
      </c>
      <c r="L544" s="20" t="n">
        <v>25.86</v>
      </c>
      <c r="M544" s="20" t="n">
        <v>0</v>
      </c>
      <c r="N544" s="20">
        <f>K544*0.08+L544*0.08</f>
        <v/>
      </c>
      <c r="O544" s="20">
        <f>-(K544*0.025+L544*0.025)</f>
        <v/>
      </c>
      <c r="P544" s="20">
        <f>32</f>
        <v/>
      </c>
      <c r="Q544" s="20">
        <f>J544+L544+N544+O544-P544-M544</f>
        <v/>
      </c>
    </row>
    <row r="545">
      <c r="A545" s="19" t="inlineStr">
        <is>
          <t>6.12-6.18</t>
        </is>
      </c>
      <c r="B545" s="19" t="inlineStr">
        <is>
          <t>PO-128-07172596539511182</t>
        </is>
      </c>
      <c r="C545" s="19" t="inlineStr">
        <is>
          <t>Shipped</t>
        </is>
      </c>
      <c r="D545" s="19" t="inlineStr">
        <is>
          <t>128-07172615544951182</t>
        </is>
      </c>
      <c r="E545" s="19" t="inlineStr">
        <is>
          <t>Shipped</t>
        </is>
      </c>
      <c r="F545" s="19" t="inlineStr">
        <is>
          <t>BS-01</t>
        </is>
      </c>
      <c r="G54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5" s="19" t="inlineStr">
        <is>
          <t>BS-01</t>
        </is>
      </c>
      <c r="I545" s="19" t="n">
        <v>1</v>
      </c>
      <c r="J545" s="20" t="n">
        <v>219</v>
      </c>
      <c r="K545" s="20" t="n">
        <v>257.6</v>
      </c>
      <c r="L545" s="20" t="n">
        <v>25.86</v>
      </c>
      <c r="M545" s="20" t="n">
        <v>0</v>
      </c>
      <c r="N545" s="20">
        <f>K545*0.08+L545*0.08</f>
        <v/>
      </c>
      <c r="O545" s="20">
        <f>-(K545*0.025+L545*0.025)</f>
        <v/>
      </c>
      <c r="P545" s="20">
        <f>32</f>
        <v/>
      </c>
      <c r="Q545" s="20">
        <f>J545+L545+N545+O545-P545-M545</f>
        <v/>
      </c>
    </row>
    <row r="546">
      <c r="A546" s="19" t="inlineStr">
        <is>
          <t>6.12-6.18</t>
        </is>
      </c>
      <c r="B546" s="19" t="inlineStr">
        <is>
          <t>PO-128-07299629007992667</t>
        </is>
      </c>
      <c r="C546" s="19" t="inlineStr">
        <is>
          <t>Shipped</t>
        </is>
      </c>
      <c r="D546" s="19" t="inlineStr">
        <is>
          <t>128-07299649979512667</t>
        </is>
      </c>
      <c r="E546" s="19" t="inlineStr">
        <is>
          <t>Shipped</t>
        </is>
      </c>
      <c r="F546" s="19" t="inlineStr">
        <is>
          <t>BS-01</t>
        </is>
      </c>
      <c r="G54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6" s="19" t="inlineStr">
        <is>
          <t>BS-01</t>
        </is>
      </c>
      <c r="I546" s="19" t="n">
        <v>1</v>
      </c>
      <c r="J546" s="20" t="n">
        <v>219</v>
      </c>
      <c r="K546" s="20" t="n">
        <v>257.6</v>
      </c>
      <c r="L546" s="20" t="n">
        <v>25.86</v>
      </c>
      <c r="M546" s="20" t="n">
        <v>0</v>
      </c>
      <c r="N546" s="20">
        <f>K546*0.08+L546*0.08</f>
        <v/>
      </c>
      <c r="O546" s="20">
        <f>-(K546*0.025+L546*0.025)</f>
        <v/>
      </c>
      <c r="P546" s="20">
        <f>32</f>
        <v/>
      </c>
      <c r="Q546" s="20">
        <f>J546+L546+N546+O546-P546-M546</f>
        <v/>
      </c>
    </row>
    <row r="547">
      <c r="A547" s="19" t="inlineStr">
        <is>
          <t>6.12-6.18</t>
        </is>
      </c>
      <c r="B547" s="19" t="inlineStr">
        <is>
          <t>PO-128-07399183191674056</t>
        </is>
      </c>
      <c r="C547" s="19" t="inlineStr">
        <is>
          <t>Shipped</t>
        </is>
      </c>
      <c r="D547" s="19" t="inlineStr">
        <is>
          <t>128-07399235620474056</t>
        </is>
      </c>
      <c r="E547" s="19" t="inlineStr">
        <is>
          <t>Shipped</t>
        </is>
      </c>
      <c r="F547" s="19" t="inlineStr">
        <is>
          <t>BS-01</t>
        </is>
      </c>
      <c r="G54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7" s="19" t="inlineStr">
        <is>
          <t>BS-01</t>
        </is>
      </c>
      <c r="I547" s="19" t="n">
        <v>1</v>
      </c>
      <c r="J547" s="20" t="n">
        <v>219</v>
      </c>
      <c r="K547" s="20" t="n">
        <v>257.6</v>
      </c>
      <c r="L547" s="20" t="n">
        <v>25.86</v>
      </c>
      <c r="M547" s="20" t="n">
        <v>0</v>
      </c>
      <c r="N547" s="20">
        <f>K547*0.08+L547*0.08</f>
        <v/>
      </c>
      <c r="O547" s="20">
        <f>-(K547*0.025+L547*0.025)</f>
        <v/>
      </c>
      <c r="P547" s="20">
        <f>32</f>
        <v/>
      </c>
      <c r="Q547" s="20">
        <f>J547+L547+N547+O547-P547-M547</f>
        <v/>
      </c>
    </row>
    <row r="548">
      <c r="A548" s="19" t="inlineStr">
        <is>
          <t>6.12-6.18</t>
        </is>
      </c>
      <c r="B548" s="19" t="inlineStr">
        <is>
          <t>PO-128-07104390147191783</t>
        </is>
      </c>
      <c r="C548" s="19" t="inlineStr">
        <is>
          <t>Shipped</t>
        </is>
      </c>
      <c r="D548" s="19" t="inlineStr">
        <is>
          <t>128-07104432090231783</t>
        </is>
      </c>
      <c r="E548" s="19" t="inlineStr">
        <is>
          <t>Shipped</t>
        </is>
      </c>
      <c r="F548" s="19" t="inlineStr">
        <is>
          <t>BS-01</t>
        </is>
      </c>
      <c r="G54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8" s="19" t="inlineStr">
        <is>
          <t>BS-01</t>
        </is>
      </c>
      <c r="I548" s="19" t="n">
        <v>1</v>
      </c>
      <c r="J548" s="20" t="n">
        <v>219</v>
      </c>
      <c r="K548" s="20" t="n">
        <v>257.6</v>
      </c>
      <c r="L548" s="20" t="n">
        <v>25.86</v>
      </c>
      <c r="M548" s="20" t="n">
        <v>0</v>
      </c>
      <c r="N548" s="20">
        <f>K548*0.08+L548*0.08</f>
        <v/>
      </c>
      <c r="O548" s="20">
        <f>-(K548*0.025+L548*0.025)</f>
        <v/>
      </c>
      <c r="P548" s="20">
        <f>32</f>
        <v/>
      </c>
      <c r="Q548" s="20">
        <f>J548+L548+N548+O548-P548-M548</f>
        <v/>
      </c>
    </row>
    <row r="549">
      <c r="A549" s="19" t="inlineStr">
        <is>
          <t>6.12-6.18</t>
        </is>
      </c>
      <c r="B549" s="19" t="inlineStr">
        <is>
          <t>PO-128-07474679383673478</t>
        </is>
      </c>
      <c r="C549" s="19" t="inlineStr">
        <is>
          <t>Shipped</t>
        </is>
      </c>
      <c r="D549" s="19" t="inlineStr">
        <is>
          <t>128-07474663655033478</t>
        </is>
      </c>
      <c r="E549" s="19" t="inlineStr">
        <is>
          <t>Shipped</t>
        </is>
      </c>
      <c r="F549" s="19" t="inlineStr">
        <is>
          <t>BS-01</t>
        </is>
      </c>
      <c r="G54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9" s="19" t="inlineStr">
        <is>
          <t>BS-01</t>
        </is>
      </c>
      <c r="I549" s="19" t="n">
        <v>1</v>
      </c>
      <c r="J549" s="20" t="n">
        <v>219</v>
      </c>
      <c r="K549" s="20" t="n">
        <v>257.6</v>
      </c>
      <c r="L549" s="20" t="n">
        <v>25.86</v>
      </c>
      <c r="M549" s="20" t="n">
        <v>0</v>
      </c>
      <c r="N549" s="20">
        <f>K549*0.08+L549*0.08</f>
        <v/>
      </c>
      <c r="O549" s="20">
        <f>-(K549*0.025+L549*0.025)</f>
        <v/>
      </c>
      <c r="P549" s="20">
        <f>32</f>
        <v/>
      </c>
      <c r="Q549" s="20">
        <f>J549+L549+N549+O549-P549-M549</f>
        <v/>
      </c>
    </row>
    <row r="550">
      <c r="A550" s="19" t="inlineStr">
        <is>
          <t>6.12-6.18</t>
        </is>
      </c>
      <c r="B550" s="19" t="inlineStr">
        <is>
          <t>PO-128-07058651210871990</t>
        </is>
      </c>
      <c r="C550" s="19" t="inlineStr">
        <is>
          <t>Shipped</t>
        </is>
      </c>
      <c r="D550" s="19" t="inlineStr">
        <is>
          <t>128-07058609267831990</t>
        </is>
      </c>
      <c r="E550" s="19" t="inlineStr">
        <is>
          <t>Shipped</t>
        </is>
      </c>
      <c r="F550" s="19" t="inlineStr">
        <is>
          <t>BS-01</t>
        </is>
      </c>
      <c r="G55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0" s="19" t="inlineStr">
        <is>
          <t>BS-01</t>
        </is>
      </c>
      <c r="I550" s="19" t="n">
        <v>1</v>
      </c>
      <c r="J550" s="20" t="n">
        <v>219</v>
      </c>
      <c r="K550" s="20" t="n">
        <v>257.6</v>
      </c>
      <c r="L550" s="20" t="n">
        <v>25.86</v>
      </c>
      <c r="M550" s="20" t="n">
        <v>0</v>
      </c>
      <c r="N550" s="20">
        <f>K550*0.08+L550*0.08</f>
        <v/>
      </c>
      <c r="O550" s="20">
        <f>-(K550*0.025+L550*0.025)</f>
        <v/>
      </c>
      <c r="P550" s="20">
        <f>32</f>
        <v/>
      </c>
      <c r="Q550" s="20">
        <f>J550+L550+N550+O550-P550-M550</f>
        <v/>
      </c>
    </row>
    <row r="551">
      <c r="A551" s="19" t="inlineStr">
        <is>
          <t>6.12-6.18</t>
        </is>
      </c>
      <c r="B551" s="19" t="inlineStr">
        <is>
          <t>PO-128-07530925939833273</t>
        </is>
      </c>
      <c r="C551" s="19" t="inlineStr">
        <is>
          <t>Shipped</t>
        </is>
      </c>
      <c r="D551" s="19" t="inlineStr">
        <is>
          <t>128-07530883996793273</t>
        </is>
      </c>
      <c r="E551" s="19" t="inlineStr">
        <is>
          <t>Shipped</t>
        </is>
      </c>
      <c r="F551" s="19" t="inlineStr">
        <is>
          <t>BS-01</t>
        </is>
      </c>
      <c r="G55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1" s="19" t="inlineStr">
        <is>
          <t>BS-01</t>
        </is>
      </c>
      <c r="I551" s="19" t="n">
        <v>1</v>
      </c>
      <c r="J551" s="20" t="n">
        <v>219</v>
      </c>
      <c r="K551" s="20" t="n">
        <v>137.22</v>
      </c>
      <c r="L551" s="20" t="n">
        <v>25.86</v>
      </c>
      <c r="M551" s="20" t="n">
        <v>2.13</v>
      </c>
      <c r="N551" s="20">
        <f>K551*0.08+L551*0.08</f>
        <v/>
      </c>
      <c r="O551" s="20">
        <f>-(K551*0.025+L551*0.025)</f>
        <v/>
      </c>
      <c r="P551" s="20">
        <f>32</f>
        <v/>
      </c>
      <c r="Q551" s="20">
        <f>J551+L551+N551+O551-P551-M551</f>
        <v/>
      </c>
    </row>
    <row r="552">
      <c r="A552" s="19" t="inlineStr">
        <is>
          <t>6.12-6.18</t>
        </is>
      </c>
      <c r="B552" s="19" t="inlineStr">
        <is>
          <t>PO-128-07423782974073911</t>
        </is>
      </c>
      <c r="C552" s="19" t="inlineStr">
        <is>
          <t>Shipped</t>
        </is>
      </c>
      <c r="D552" s="19" t="inlineStr">
        <is>
          <t>128-07423762002553911</t>
        </is>
      </c>
      <c r="E552" s="19" t="inlineStr">
        <is>
          <t>Shipped</t>
        </is>
      </c>
      <c r="F552" s="19" t="inlineStr">
        <is>
          <t>BS-09</t>
        </is>
      </c>
      <c r="G552" s="19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52" s="19" t="inlineStr">
        <is>
          <t>NEGRO</t>
        </is>
      </c>
      <c r="I552" s="19" t="n">
        <v>1</v>
      </c>
      <c r="J552" s="20" t="n">
        <v>118</v>
      </c>
      <c r="K552" s="20" t="n">
        <v>175.75</v>
      </c>
      <c r="L552" s="20" t="n">
        <v>25.86</v>
      </c>
      <c r="M552" s="20" t="n">
        <v>0</v>
      </c>
      <c r="N552" s="20">
        <f>K552*0.08+L552*0.08</f>
        <v/>
      </c>
      <c r="O552" s="20">
        <f>-(K552*0.025+L552*0.025)</f>
        <v/>
      </c>
      <c r="P552" s="20">
        <f>32</f>
        <v/>
      </c>
      <c r="Q552" s="20">
        <f>J552+L552+N552+O552-P552-M552</f>
        <v/>
      </c>
    </row>
    <row r="553">
      <c r="A553" s="19" t="inlineStr">
        <is>
          <t>6.12-6.18</t>
        </is>
      </c>
      <c r="B553" s="19" t="inlineStr">
        <is>
          <t>PO-128-12392569132150791</t>
        </is>
      </c>
      <c r="C553" s="19" t="inlineStr">
        <is>
          <t>Shipped</t>
        </is>
      </c>
      <c r="D553" s="19" t="inlineStr">
        <is>
          <t>128-12392611075190791</t>
        </is>
      </c>
      <c r="E553" s="19" t="inlineStr">
        <is>
          <t>Shipped</t>
        </is>
      </c>
      <c r="F553" s="19" t="inlineStr">
        <is>
          <t>BS-09</t>
        </is>
      </c>
      <c r="G553" s="19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53" s="19" t="inlineStr">
        <is>
          <t>NEGRO</t>
        </is>
      </c>
      <c r="I553" s="19" t="n">
        <v>1</v>
      </c>
      <c r="J553" s="20" t="n">
        <v>118</v>
      </c>
      <c r="K553" s="20" t="n">
        <v>175.75</v>
      </c>
      <c r="L553" s="20" t="n">
        <v>25.86</v>
      </c>
      <c r="M553" s="20" t="n">
        <v>0</v>
      </c>
      <c r="N553" s="20">
        <f>K553*0.08+L553*0.08</f>
        <v/>
      </c>
      <c r="O553" s="20">
        <f>-(K553*0.025+L553*0.025)</f>
        <v/>
      </c>
      <c r="P553" s="20">
        <f>32</f>
        <v/>
      </c>
      <c r="Q553" s="20">
        <f>J553+L553+N553+O553-P553-M553</f>
        <v/>
      </c>
    </row>
    <row r="554">
      <c r="A554" s="19" t="inlineStr">
        <is>
          <t>6.12-6.18</t>
        </is>
      </c>
      <c r="B554" s="19" t="inlineStr">
        <is>
          <t>PO-128-12546141074551922</t>
        </is>
      </c>
      <c r="C554" s="19" t="inlineStr">
        <is>
          <t>Shipped</t>
        </is>
      </c>
      <c r="D554" s="19" t="inlineStr">
        <is>
          <t>128-12546099131511922</t>
        </is>
      </c>
      <c r="E554" s="19" t="inlineStr">
        <is>
          <t>Shipped</t>
        </is>
      </c>
      <c r="F554" s="19" t="inlineStr">
        <is>
          <t>BS-09</t>
        </is>
      </c>
      <c r="G554" s="19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54" s="19" t="inlineStr">
        <is>
          <t>NEGRO</t>
        </is>
      </c>
      <c r="I554" s="19" t="n">
        <v>1</v>
      </c>
      <c r="J554" s="20" t="n">
        <v>118</v>
      </c>
      <c r="K554" s="20" t="n">
        <v>175.75</v>
      </c>
      <c r="L554" s="20" t="n">
        <v>25.86</v>
      </c>
      <c r="M554" s="20" t="n">
        <v>0</v>
      </c>
      <c r="N554" s="20">
        <f>K554*0.08+L554*0.08</f>
        <v/>
      </c>
      <c r="O554" s="20">
        <f>-(K554*0.025+L554*0.025)</f>
        <v/>
      </c>
      <c r="P554" s="20">
        <f>32</f>
        <v/>
      </c>
      <c r="Q554" s="20">
        <f>J554+L554+N554+O554-P554-M554</f>
        <v/>
      </c>
    </row>
    <row r="555">
      <c r="A555" s="19" t="inlineStr">
        <is>
          <t>6.12-6.18</t>
        </is>
      </c>
      <c r="B555" s="19" t="inlineStr">
        <is>
          <t>PO-128-12736555141752837</t>
        </is>
      </c>
      <c r="C555" s="19" t="inlineStr">
        <is>
          <t>Shipped</t>
        </is>
      </c>
      <c r="D555" s="19" t="inlineStr">
        <is>
          <t>128-12736581356152837</t>
        </is>
      </c>
      <c r="E555" s="19" t="inlineStr">
        <is>
          <t>Shipped</t>
        </is>
      </c>
      <c r="F555" s="19" t="inlineStr">
        <is>
          <t>BS-01</t>
        </is>
      </c>
      <c r="G55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5" s="19" t="inlineStr">
        <is>
          <t>BS-01</t>
        </is>
      </c>
      <c r="I555" s="19" t="n">
        <v>1</v>
      </c>
      <c r="J555" s="20" t="n">
        <v>219</v>
      </c>
      <c r="K555" s="20" t="n">
        <v>218.96</v>
      </c>
      <c r="L555" s="20" t="n">
        <v>25.86</v>
      </c>
      <c r="M555" s="20" t="n">
        <v>0</v>
      </c>
      <c r="N555" s="20">
        <f>K555*0.08+L555*0.08</f>
        <v/>
      </c>
      <c r="O555" s="20">
        <f>-(K555*0.025+L555*0.025)</f>
        <v/>
      </c>
      <c r="P555" s="20">
        <f>32</f>
        <v/>
      </c>
      <c r="Q555" s="20">
        <f>J555+L555+N555+O555-P555-M555</f>
        <v/>
      </c>
    </row>
    <row r="556">
      <c r="A556" s="19" t="inlineStr">
        <is>
          <t>6.12-6.18</t>
        </is>
      </c>
      <c r="B556" s="19" t="inlineStr">
        <is>
          <t>PO-128-12446615388790597</t>
        </is>
      </c>
      <c r="C556" s="19" t="inlineStr">
        <is>
          <t>Shipped</t>
        </is>
      </c>
      <c r="D556" s="19" t="inlineStr">
        <is>
          <t>128-12446667817590597</t>
        </is>
      </c>
      <c r="E556" s="19" t="inlineStr">
        <is>
          <t>Shipped</t>
        </is>
      </c>
      <c r="F556" s="19" t="inlineStr">
        <is>
          <t>BS-01</t>
        </is>
      </c>
      <c r="G55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6" s="19" t="inlineStr">
        <is>
          <t>BS-01</t>
        </is>
      </c>
      <c r="I556" s="19" t="n">
        <v>1</v>
      </c>
      <c r="J556" s="20" t="n">
        <v>219</v>
      </c>
      <c r="K556" s="20" t="n">
        <v>167.44</v>
      </c>
      <c r="L556" s="20" t="n">
        <v>25.86</v>
      </c>
      <c r="M556" s="20" t="n">
        <v>0</v>
      </c>
      <c r="N556" s="20">
        <f>K556*0.08+L556*0.08</f>
        <v/>
      </c>
      <c r="O556" s="20">
        <f>-(K556*0.025+L556*0.025)</f>
        <v/>
      </c>
      <c r="P556" s="20">
        <f>32</f>
        <v/>
      </c>
      <c r="Q556" s="20">
        <f>J556+L556+N556+O556-P556-M556</f>
        <v/>
      </c>
    </row>
    <row r="557">
      <c r="A557" s="19" t="inlineStr">
        <is>
          <t>6.12-6.18</t>
        </is>
      </c>
      <c r="B557" s="19" t="inlineStr">
        <is>
          <t>PO-128-01617300030071593</t>
        </is>
      </c>
      <c r="C557" s="19" t="inlineStr">
        <is>
          <t>Shipped</t>
        </is>
      </c>
      <c r="D557" s="19" t="inlineStr">
        <is>
          <t>128-01617258087031593</t>
        </is>
      </c>
      <c r="E557" s="19" t="inlineStr">
        <is>
          <t>Shipped</t>
        </is>
      </c>
      <c r="F557" s="19" t="inlineStr">
        <is>
          <t>BS-01</t>
        </is>
      </c>
      <c r="G55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7" s="19" t="inlineStr">
        <is>
          <t>BS-01</t>
        </is>
      </c>
      <c r="I557" s="19" t="n">
        <v>1</v>
      </c>
      <c r="J557" s="20" t="n">
        <v>219</v>
      </c>
      <c r="K557" s="20" t="n">
        <v>257.6</v>
      </c>
      <c r="L557" s="20" t="n">
        <v>25.86</v>
      </c>
      <c r="M557" s="20" t="n">
        <v>0</v>
      </c>
      <c r="N557" s="20">
        <f>K557*0.08+L557*0.08</f>
        <v/>
      </c>
      <c r="O557" s="20">
        <f>-(K557*0.025+L557*0.025)</f>
        <v/>
      </c>
      <c r="P557" s="20">
        <f>32</f>
        <v/>
      </c>
      <c r="Q557" s="20">
        <f>J557+L557+N557+O557-P557-M557</f>
        <v/>
      </c>
    </row>
    <row r="558">
      <c r="A558" s="19" t="inlineStr">
        <is>
          <t>6.12-6.18</t>
        </is>
      </c>
      <c r="B558" s="19" t="inlineStr">
        <is>
          <t>PO-128-01832254157432359</t>
        </is>
      </c>
      <c r="C558" s="19" t="inlineStr">
        <is>
          <t>Shipped</t>
        </is>
      </c>
      <c r="D558" s="19" t="inlineStr">
        <is>
          <t>128-01832264643192359</t>
        </is>
      </c>
      <c r="E558" s="19" t="inlineStr">
        <is>
          <t>Shipped</t>
        </is>
      </c>
      <c r="F558" s="19" t="inlineStr">
        <is>
          <t>BS-01</t>
        </is>
      </c>
      <c r="G55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8" s="19" t="inlineStr">
        <is>
          <t>BS-01</t>
        </is>
      </c>
      <c r="I558" s="19" t="n">
        <v>1</v>
      </c>
      <c r="J558" s="20" t="n">
        <v>219</v>
      </c>
      <c r="K558" s="20" t="n">
        <v>257.6</v>
      </c>
      <c r="L558" s="20" t="n">
        <v>25.86</v>
      </c>
      <c r="M558" s="20" t="n">
        <v>0</v>
      </c>
      <c r="N558" s="20">
        <f>K558*0.08+L558*0.08</f>
        <v/>
      </c>
      <c r="O558" s="20">
        <f>-(K558*0.025+L558*0.025)</f>
        <v/>
      </c>
      <c r="P558" s="20">
        <f>32</f>
        <v/>
      </c>
      <c r="Q558" s="20">
        <f>J558+L558+N558+O558-P558-M558</f>
        <v/>
      </c>
    </row>
    <row r="559">
      <c r="A559" s="19" t="inlineStr">
        <is>
          <t>6.12-6.18</t>
        </is>
      </c>
      <c r="B559" s="19" t="inlineStr">
        <is>
          <t>PO-128-01981602130553517</t>
        </is>
      </c>
      <c r="C559" s="19" t="inlineStr">
        <is>
          <t>Shipped</t>
        </is>
      </c>
      <c r="D559" s="19" t="inlineStr">
        <is>
          <t>128-01981594266233517</t>
        </is>
      </c>
      <c r="E559" s="19" t="inlineStr">
        <is>
          <t>Shipped</t>
        </is>
      </c>
      <c r="F559" s="19" t="inlineStr">
        <is>
          <t>BS-01</t>
        </is>
      </c>
      <c r="G55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59" s="19" t="inlineStr">
        <is>
          <t>BS-01</t>
        </is>
      </c>
      <c r="I559" s="19" t="n">
        <v>1</v>
      </c>
      <c r="J559" s="20" t="n">
        <v>219</v>
      </c>
      <c r="K559" s="20" t="n">
        <v>257.6</v>
      </c>
      <c r="L559" s="20" t="n">
        <v>25.86</v>
      </c>
      <c r="M559" s="20" t="n">
        <v>0</v>
      </c>
      <c r="N559" s="20">
        <f>K559*0.08+L559*0.08</f>
        <v/>
      </c>
      <c r="O559" s="20">
        <f>-(K559*0.025+L559*0.025)</f>
        <v/>
      </c>
      <c r="P559" s="20">
        <f>32</f>
        <v/>
      </c>
      <c r="Q559" s="20">
        <f>J559+L559+N559+O559-P559-M559</f>
        <v/>
      </c>
    </row>
    <row r="560">
      <c r="A560" s="19" t="inlineStr">
        <is>
          <t>6.12-6.18</t>
        </is>
      </c>
      <c r="B560" s="19" t="inlineStr">
        <is>
          <t>PO-128-09939872489591264</t>
        </is>
      </c>
      <c r="C560" s="19" t="inlineStr">
        <is>
          <t>Shipped</t>
        </is>
      </c>
      <c r="D560" s="19" t="inlineStr">
        <is>
          <t>128-09939914432631264</t>
        </is>
      </c>
      <c r="E560" s="19" t="inlineStr">
        <is>
          <t>Shipped</t>
        </is>
      </c>
      <c r="F560" s="19" t="inlineStr">
        <is>
          <t>BS-01</t>
        </is>
      </c>
      <c r="G56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0" s="19" t="inlineStr">
        <is>
          <t>BS-01</t>
        </is>
      </c>
      <c r="I560" s="19" t="n">
        <v>1</v>
      </c>
      <c r="J560" s="20" t="n">
        <v>215</v>
      </c>
      <c r="K560" s="20" t="n">
        <v>253.6</v>
      </c>
      <c r="L560" s="20" t="n">
        <v>25.86</v>
      </c>
      <c r="M560" s="20" t="n">
        <v>0</v>
      </c>
      <c r="N560" s="20">
        <f>K560*0.08+L560*0.08</f>
        <v/>
      </c>
      <c r="O560" s="20">
        <f>-(K560*0.025+L560*0.025)</f>
        <v/>
      </c>
      <c r="P560" s="20">
        <f>32</f>
        <v/>
      </c>
      <c r="Q560" s="20">
        <f>J560+L560+N560+O560-P560-M560</f>
        <v/>
      </c>
    </row>
    <row r="561">
      <c r="A561" s="19" t="inlineStr">
        <is>
          <t>6.12-6.18</t>
        </is>
      </c>
      <c r="B561" s="19" t="inlineStr">
        <is>
          <t>PO-128-18474805412473512</t>
        </is>
      </c>
      <c r="C561" s="19" t="inlineStr">
        <is>
          <t>Delivered</t>
        </is>
      </c>
      <c r="D561" s="19" t="inlineStr">
        <is>
          <t>128-18474784440953512</t>
        </is>
      </c>
      <c r="E561" s="19" t="inlineStr">
        <is>
          <t>Delivered</t>
        </is>
      </c>
      <c r="F561" s="19" t="inlineStr">
        <is>
          <t>BS-01</t>
        </is>
      </c>
      <c r="G56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1" s="19" t="inlineStr">
        <is>
          <t>BS-01</t>
        </is>
      </c>
      <c r="I561" s="19" t="n">
        <v>1</v>
      </c>
      <c r="J561" s="20" t="n">
        <v>219</v>
      </c>
      <c r="K561" s="20" t="n">
        <v>231.74</v>
      </c>
      <c r="L561" s="20" t="n">
        <v>25.86</v>
      </c>
      <c r="M561" s="20" t="n">
        <v>0</v>
      </c>
      <c r="N561" s="20">
        <f>K561*0.08+L561*0.08</f>
        <v/>
      </c>
      <c r="O561" s="20">
        <f>-(K561*0.025+L561*0.025)</f>
        <v/>
      </c>
      <c r="P561" s="20">
        <f>32</f>
        <v/>
      </c>
      <c r="Q561" s="20">
        <f>J561+L561+N561+O561-P561-M561</f>
        <v/>
      </c>
    </row>
    <row r="562">
      <c r="A562" s="19" t="inlineStr">
        <is>
          <t>6.12-6.18</t>
        </is>
      </c>
      <c r="B562" s="19" t="inlineStr">
        <is>
          <t>PO-128-07374418468472092</t>
        </is>
      </c>
      <c r="C562" s="19" t="inlineStr">
        <is>
          <t>Delivered</t>
        </is>
      </c>
      <c r="D562" s="19" t="inlineStr">
        <is>
          <t>128-07374376525432092</t>
        </is>
      </c>
      <c r="E562" s="19" t="inlineStr">
        <is>
          <t>Delivered</t>
        </is>
      </c>
      <c r="F562" s="19" t="inlineStr">
        <is>
          <t>BS-01</t>
        </is>
      </c>
      <c r="G56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2" s="19" t="inlineStr">
        <is>
          <t>BS-01</t>
        </is>
      </c>
      <c r="I562" s="19" t="n">
        <v>1</v>
      </c>
      <c r="J562" s="20" t="n">
        <v>219</v>
      </c>
      <c r="K562" s="20" t="n">
        <v>257.6</v>
      </c>
      <c r="L562" s="20" t="n">
        <v>25.86</v>
      </c>
      <c r="M562" s="20" t="n">
        <v>0</v>
      </c>
      <c r="N562" s="20">
        <f>K562*0.08+L562*0.08</f>
        <v/>
      </c>
      <c r="O562" s="20">
        <f>-(K562*0.025+L562*0.025)</f>
        <v/>
      </c>
      <c r="P562" s="20">
        <f>32</f>
        <v/>
      </c>
      <c r="Q562" s="20">
        <f>J562+L562+N562+O562-P562-M562</f>
        <v/>
      </c>
    </row>
    <row r="563">
      <c r="A563" s="19" t="inlineStr">
        <is>
          <t>6.12-6.18</t>
        </is>
      </c>
      <c r="B563" s="19" t="inlineStr">
        <is>
          <t>PO-128-07139504218231444</t>
        </is>
      </c>
      <c r="C563" s="19" t="inlineStr">
        <is>
          <t>Delivered</t>
        </is>
      </c>
      <c r="D563" s="19" t="inlineStr">
        <is>
          <t>128-07139462275191444</t>
        </is>
      </c>
      <c r="E563" s="19" t="inlineStr">
        <is>
          <t>Delivered</t>
        </is>
      </c>
      <c r="F563" s="19" t="inlineStr">
        <is>
          <t>BS-01</t>
        </is>
      </c>
      <c r="G56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3" s="19" t="inlineStr">
        <is>
          <t>BS-01</t>
        </is>
      </c>
      <c r="I563" s="19" t="n">
        <v>1</v>
      </c>
      <c r="J563" s="20" t="n">
        <v>219</v>
      </c>
      <c r="K563" s="20" t="n">
        <v>126.23</v>
      </c>
      <c r="L563" s="20" t="n">
        <v>25.86</v>
      </c>
      <c r="M563" s="20" t="n">
        <v>0</v>
      </c>
      <c r="N563" s="20">
        <f>K563*0.08+L563*0.08</f>
        <v/>
      </c>
      <c r="O563" s="20">
        <f>-(K563*0.025+L563*0.025)</f>
        <v/>
      </c>
      <c r="P563" s="20">
        <f>32</f>
        <v/>
      </c>
      <c r="Q563" s="20">
        <f>J563+L563+N563+O563-P563-M563</f>
        <v/>
      </c>
    </row>
    <row r="564">
      <c r="A564" s="19" t="inlineStr">
        <is>
          <t>6.12-6.18</t>
        </is>
      </c>
      <c r="B564" s="19" t="inlineStr">
        <is>
          <t>PO-128-07533441679993320</t>
        </is>
      </c>
      <c r="C564" s="19" t="inlineStr">
        <is>
          <t>Delivered</t>
        </is>
      </c>
      <c r="D564" s="19" t="inlineStr">
        <is>
          <t>128-07533399736953320</t>
        </is>
      </c>
      <c r="E564" s="19" t="inlineStr">
        <is>
          <t>Delivered</t>
        </is>
      </c>
      <c r="F564" s="19" t="inlineStr">
        <is>
          <t>BS-09</t>
        </is>
      </c>
      <c r="G564" s="19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64" s="19" t="inlineStr">
        <is>
          <t>NEGRO</t>
        </is>
      </c>
      <c r="I564" s="19" t="n">
        <v>1</v>
      </c>
      <c r="J564" s="20" t="n">
        <v>118</v>
      </c>
      <c r="K564" s="20" t="n">
        <v>132.65</v>
      </c>
      <c r="L564" s="20" t="n">
        <v>25.86</v>
      </c>
      <c r="M564" s="20" t="n">
        <v>0</v>
      </c>
      <c r="N564" s="20">
        <f>K564*0.08+L564*0.08</f>
        <v/>
      </c>
      <c r="O564" s="20">
        <f>-(K564*0.025+L564*0.025)</f>
        <v/>
      </c>
      <c r="P564" s="20">
        <f>32</f>
        <v/>
      </c>
      <c r="Q564" s="20">
        <f>J564+L564+N564+O564-P564-M564</f>
        <v/>
      </c>
    </row>
    <row r="565">
      <c r="A565" s="19" t="inlineStr">
        <is>
          <t>6.12-6.18</t>
        </is>
      </c>
      <c r="B565" s="19" t="inlineStr">
        <is>
          <t>PO-128-07466281800313656</t>
        </is>
      </c>
      <c r="C565" s="19" t="inlineStr">
        <is>
          <t>Delivered</t>
        </is>
      </c>
      <c r="D565" s="19" t="inlineStr">
        <is>
          <t>128-07466363720313656</t>
        </is>
      </c>
      <c r="E565" s="19" t="inlineStr">
        <is>
          <t>Delivered</t>
        </is>
      </c>
      <c r="F565" s="19" t="inlineStr">
        <is>
          <t>BS-01</t>
        </is>
      </c>
      <c r="G56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5" s="19" t="inlineStr">
        <is>
          <t>BS-01</t>
        </is>
      </c>
      <c r="I565" s="19" t="n">
        <v>1</v>
      </c>
      <c r="J565" s="20" t="n">
        <v>219</v>
      </c>
      <c r="K565" s="20" t="n">
        <v>257.6</v>
      </c>
      <c r="L565" s="20" t="n">
        <v>25.86</v>
      </c>
      <c r="M565" s="20" t="n">
        <v>0</v>
      </c>
      <c r="N565" s="20">
        <f>K565*0.08+L565*0.08</f>
        <v/>
      </c>
      <c r="O565" s="20">
        <f>-(K565*0.025+L565*0.025)</f>
        <v/>
      </c>
      <c r="P565" s="20">
        <f>32</f>
        <v/>
      </c>
      <c r="Q565" s="20">
        <f>J565+L565+N565+O565-P565-M565</f>
        <v/>
      </c>
    </row>
    <row r="566">
      <c r="A566" s="19" t="inlineStr">
        <is>
          <t>6.12-6.18</t>
        </is>
      </c>
      <c r="B566" s="19" t="inlineStr">
        <is>
          <t>PO-128-07041802424950106</t>
        </is>
      </c>
      <c r="C566" s="19" t="inlineStr">
        <is>
          <t>Delivered</t>
        </is>
      </c>
      <c r="D566" s="19" t="inlineStr">
        <is>
          <t>128-07041844367990106</t>
        </is>
      </c>
      <c r="E566" s="19" t="inlineStr">
        <is>
          <t>Delivered</t>
        </is>
      </c>
      <c r="F566" s="19" t="inlineStr">
        <is>
          <t>BS-01</t>
        </is>
      </c>
      <c r="G56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6" s="19" t="inlineStr">
        <is>
          <t>BS-01</t>
        </is>
      </c>
      <c r="I566" s="19" t="n">
        <v>1</v>
      </c>
      <c r="J566" s="20" t="n">
        <v>219</v>
      </c>
      <c r="K566" s="20" t="n">
        <v>257.6</v>
      </c>
      <c r="L566" s="20" t="n">
        <v>25.86</v>
      </c>
      <c r="M566" s="20" t="n">
        <v>0</v>
      </c>
      <c r="N566" s="20">
        <f>K566*0.08+L566*0.08</f>
        <v/>
      </c>
      <c r="O566" s="20">
        <f>-(K566*0.025+L566*0.025)</f>
        <v/>
      </c>
      <c r="P566" s="20">
        <f>32</f>
        <v/>
      </c>
      <c r="Q566" s="20">
        <f>J566+L566+N566+O566-P566-M566</f>
        <v/>
      </c>
    </row>
    <row r="567">
      <c r="A567" s="19" t="inlineStr">
        <is>
          <t>6.12-6.18</t>
        </is>
      </c>
      <c r="B567" s="19" t="inlineStr">
        <is>
          <t>PO-128-06937376113270539</t>
        </is>
      </c>
      <c r="C567" s="19" t="inlineStr">
        <is>
          <t>Delivered</t>
        </is>
      </c>
      <c r="D567" s="19" t="inlineStr">
        <is>
          <t>128-06937355141750539</t>
        </is>
      </c>
      <c r="E567" s="19" t="inlineStr">
        <is>
          <t>Delivered</t>
        </is>
      </c>
      <c r="F567" s="19" t="inlineStr">
        <is>
          <t>BS-01</t>
        </is>
      </c>
      <c r="G56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7" s="19" t="inlineStr">
        <is>
          <t>BS-01</t>
        </is>
      </c>
      <c r="I567" s="19" t="n">
        <v>1</v>
      </c>
      <c r="J567" s="20" t="n">
        <v>219</v>
      </c>
      <c r="K567" s="20" t="n">
        <v>180.32</v>
      </c>
      <c r="L567" s="20" t="n">
        <v>25.86</v>
      </c>
      <c r="M567" s="20" t="n">
        <v>0</v>
      </c>
      <c r="N567" s="20">
        <f>K567*0.08+L567*0.08</f>
        <v/>
      </c>
      <c r="O567" s="20">
        <f>-(K567*0.025+L567*0.025)</f>
        <v/>
      </c>
      <c r="P567" s="20">
        <f>32</f>
        <v/>
      </c>
      <c r="Q567" s="20">
        <f>J567+L567+N567+O567-P567-M567</f>
        <v/>
      </c>
    </row>
    <row r="568">
      <c r="A568" s="19" t="inlineStr">
        <is>
          <t>6.12-6.18</t>
        </is>
      </c>
      <c r="B568" s="19" t="inlineStr">
        <is>
          <t>PO-128-13048395830393152</t>
        </is>
      </c>
      <c r="C568" s="19" t="inlineStr">
        <is>
          <t>Delivered</t>
        </is>
      </c>
      <c r="D568" s="19" t="inlineStr">
        <is>
          <t>128-13048437773433152</t>
        </is>
      </c>
      <c r="E568" s="19" t="inlineStr">
        <is>
          <t>Delivered</t>
        </is>
      </c>
      <c r="F568" s="19" t="inlineStr">
        <is>
          <t>BS-01</t>
        </is>
      </c>
      <c r="G56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8" s="19" t="inlineStr">
        <is>
          <t>BS-01</t>
        </is>
      </c>
      <c r="I568" s="19" t="n">
        <v>1</v>
      </c>
      <c r="J568" s="20" t="n">
        <v>219</v>
      </c>
      <c r="K568" s="20" t="n">
        <v>257.6</v>
      </c>
      <c r="L568" s="20" t="n">
        <v>25.86</v>
      </c>
      <c r="M568" s="20" t="n">
        <v>0</v>
      </c>
      <c r="N568" s="20">
        <f>K568*0.08+L568*0.08</f>
        <v/>
      </c>
      <c r="O568" s="20">
        <f>-(K568*0.025+L568*0.025)</f>
        <v/>
      </c>
      <c r="P568" s="20">
        <f>32</f>
        <v/>
      </c>
      <c r="Q568" s="20">
        <f>J568+L568+N568+O568-P568-M568</f>
        <v/>
      </c>
    </row>
    <row r="569">
      <c r="A569" s="19" t="inlineStr">
        <is>
          <t>6.12-6.18</t>
        </is>
      </c>
      <c r="B569" s="19" t="inlineStr">
        <is>
          <t>PO-128-12865278549112069</t>
        </is>
      </c>
      <c r="C569" s="19" t="inlineStr">
        <is>
          <t>Delivered</t>
        </is>
      </c>
      <c r="D569" s="19" t="inlineStr">
        <is>
          <t>128-12865430592632069</t>
        </is>
      </c>
      <c r="E569" s="19" t="inlineStr">
        <is>
          <t>Delivered</t>
        </is>
      </c>
      <c r="F569" s="19" t="inlineStr">
        <is>
          <t>BS-01</t>
        </is>
      </c>
      <c r="G56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69" s="19" t="inlineStr">
        <is>
          <t>BS-01</t>
        </is>
      </c>
      <c r="I569" s="19" t="n">
        <v>1</v>
      </c>
      <c r="J569" s="20" t="n">
        <v>219</v>
      </c>
      <c r="K569" s="20" t="n">
        <v>206.08</v>
      </c>
      <c r="L569" s="20" t="n">
        <v>25.86</v>
      </c>
      <c r="M569" s="20" t="n">
        <v>0</v>
      </c>
      <c r="N569" s="20">
        <f>K569*0.08+L569*0.08</f>
        <v/>
      </c>
      <c r="O569" s="20">
        <f>-(K569*0.025+L569*0.025)</f>
        <v/>
      </c>
      <c r="P569" s="20">
        <f>32</f>
        <v/>
      </c>
      <c r="Q569" s="20">
        <f>J569+L569+N569+O569-P569-M569</f>
        <v/>
      </c>
    </row>
    <row r="570">
      <c r="A570" s="19" t="inlineStr">
        <is>
          <t>6.12-6.18</t>
        </is>
      </c>
      <c r="B570" s="19" t="inlineStr">
        <is>
          <t>PO-128-12637098975351444</t>
        </is>
      </c>
      <c r="C570" s="19" t="inlineStr">
        <is>
          <t>Delivered</t>
        </is>
      </c>
      <c r="D570" s="19" t="inlineStr">
        <is>
          <t>128-12637057032311444</t>
        </is>
      </c>
      <c r="E570" s="19" t="inlineStr">
        <is>
          <t>Delivered</t>
        </is>
      </c>
      <c r="F570" s="19" t="inlineStr">
        <is>
          <t>BS-01</t>
        </is>
      </c>
      <c r="G57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0" s="19" t="inlineStr">
        <is>
          <t>BS-01</t>
        </is>
      </c>
      <c r="I570" s="19" t="n">
        <v>1</v>
      </c>
      <c r="J570" s="20" t="n">
        <v>219</v>
      </c>
      <c r="K570" s="20" t="n">
        <v>257.6</v>
      </c>
      <c r="L570" s="20" t="n">
        <v>25.86</v>
      </c>
      <c r="M570" s="20" t="n">
        <v>0</v>
      </c>
      <c r="N570" s="20">
        <f>K570*0.08+L570*0.08</f>
        <v/>
      </c>
      <c r="O570" s="20">
        <f>-(K570*0.025+L570*0.025)</f>
        <v/>
      </c>
      <c r="P570" s="20">
        <f>32</f>
        <v/>
      </c>
      <c r="Q570" s="20">
        <f>J570+L570+N570+O570-P570-M570</f>
        <v/>
      </c>
    </row>
    <row r="571">
      <c r="A571" s="19" t="inlineStr">
        <is>
          <t>6.12-6.18</t>
        </is>
      </c>
      <c r="B571" s="19" t="inlineStr">
        <is>
          <t>PO-128-12804936871032493</t>
        </is>
      </c>
      <c r="C571" s="19" t="inlineStr">
        <is>
          <t>Delivered</t>
        </is>
      </c>
      <c r="D571" s="19" t="inlineStr">
        <is>
          <t>128-12804978814072493</t>
        </is>
      </c>
      <c r="E571" s="19" t="inlineStr">
        <is>
          <t>Delivered</t>
        </is>
      </c>
      <c r="F571" s="19" t="inlineStr">
        <is>
          <t>BS-01</t>
        </is>
      </c>
      <c r="G57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1" s="19" t="inlineStr">
        <is>
          <t>BS-01</t>
        </is>
      </c>
      <c r="I571" s="19" t="n">
        <v>1</v>
      </c>
      <c r="J571" s="20" t="n">
        <v>219</v>
      </c>
      <c r="K571" s="20" t="n">
        <v>257.6</v>
      </c>
      <c r="L571" s="20" t="n">
        <v>25.86</v>
      </c>
      <c r="M571" s="20" t="n">
        <v>0</v>
      </c>
      <c r="N571" s="20">
        <f>K571*0.08+L571*0.08</f>
        <v/>
      </c>
      <c r="O571" s="20">
        <f>-(K571*0.025+L571*0.025)</f>
        <v/>
      </c>
      <c r="P571" s="20">
        <f>32</f>
        <v/>
      </c>
      <c r="Q571" s="20">
        <f>J571+L571+N571+O571-P571-M571</f>
        <v/>
      </c>
    </row>
    <row r="572">
      <c r="A572" s="19" t="inlineStr">
        <is>
          <t>6.12-6.18</t>
        </is>
      </c>
      <c r="B572" s="19" t="inlineStr">
        <is>
          <t>PO-128-13009766006393446</t>
        </is>
      </c>
      <c r="C572" s="19" t="inlineStr">
        <is>
          <t>Delivered</t>
        </is>
      </c>
      <c r="D572" s="19" t="inlineStr">
        <is>
          <t>128-13009786977913446</t>
        </is>
      </c>
      <c r="E572" s="19" t="inlineStr">
        <is>
          <t>Delivered</t>
        </is>
      </c>
      <c r="F572" s="19" t="inlineStr">
        <is>
          <t>BS-01</t>
        </is>
      </c>
      <c r="G57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2" s="19" t="inlineStr">
        <is>
          <t>BS-01</t>
        </is>
      </c>
      <c r="I572" s="19" t="n">
        <v>1</v>
      </c>
      <c r="J572" s="20" t="n">
        <v>219</v>
      </c>
      <c r="K572" s="20" t="n">
        <v>257.6</v>
      </c>
      <c r="L572" s="20" t="n">
        <v>25.86</v>
      </c>
      <c r="M572" s="20" t="n">
        <v>0</v>
      </c>
      <c r="N572" s="20">
        <f>K572*0.08+L572*0.08</f>
        <v/>
      </c>
      <c r="O572" s="20">
        <f>-(K572*0.025+L572*0.025)</f>
        <v/>
      </c>
      <c r="P572" s="20">
        <f>32</f>
        <v/>
      </c>
      <c r="Q572" s="20">
        <f>J572+L572+N572+O572-P572-M572</f>
        <v/>
      </c>
    </row>
    <row r="573">
      <c r="A573" s="19" t="inlineStr">
        <is>
          <t>6.12-6.18</t>
        </is>
      </c>
      <c r="B573" s="19" t="inlineStr">
        <is>
          <t>PO-128-12575399283831877</t>
        </is>
      </c>
      <c r="C573" s="19" t="inlineStr">
        <is>
          <t>Delivered</t>
        </is>
      </c>
      <c r="D573" s="19" t="inlineStr">
        <is>
          <t>128-12575388798071877</t>
        </is>
      </c>
      <c r="E573" s="19" t="inlineStr">
        <is>
          <t>Delivered</t>
        </is>
      </c>
      <c r="F573" s="19" t="inlineStr">
        <is>
          <t>BS-01</t>
        </is>
      </c>
      <c r="G57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3" s="19" t="inlineStr">
        <is>
          <t>BS-01</t>
        </is>
      </c>
      <c r="I573" s="19" t="n">
        <v>1</v>
      </c>
      <c r="J573" s="20" t="n">
        <v>219</v>
      </c>
      <c r="K573" s="20" t="n">
        <v>257.6</v>
      </c>
      <c r="L573" s="20" t="n">
        <v>25.86</v>
      </c>
      <c r="M573" s="20" t="n">
        <v>0</v>
      </c>
      <c r="N573" s="20">
        <f>K573*0.08+L573*0.08</f>
        <v/>
      </c>
      <c r="O573" s="20">
        <f>-(K573*0.025+L573*0.025)</f>
        <v/>
      </c>
      <c r="P573" s="20">
        <f>32</f>
        <v/>
      </c>
      <c r="Q573" s="20">
        <f>J573+L573+N573+O573-P573-M573</f>
        <v/>
      </c>
    </row>
    <row r="574">
      <c r="A574" s="19" t="inlineStr">
        <is>
          <t>6.12-6.18</t>
        </is>
      </c>
      <c r="B574" s="19" t="inlineStr">
        <is>
          <t>PO-128-12808896343672468</t>
        </is>
      </c>
      <c r="C574" s="19" t="inlineStr">
        <is>
          <t>Delivered</t>
        </is>
      </c>
      <c r="D574" s="19" t="inlineStr">
        <is>
          <t>128-12808875372152468</t>
        </is>
      </c>
      <c r="E574" s="19" t="inlineStr">
        <is>
          <t>Delivered</t>
        </is>
      </c>
      <c r="F574" s="19" t="inlineStr">
        <is>
          <t>BS-01</t>
        </is>
      </c>
      <c r="G57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4" s="19" t="inlineStr">
        <is>
          <t>BS-01</t>
        </is>
      </c>
      <c r="I574" s="19" t="n">
        <v>1</v>
      </c>
      <c r="J574" s="20" t="n">
        <v>219</v>
      </c>
      <c r="K574" s="20" t="n">
        <v>257.6</v>
      </c>
      <c r="L574" s="20" t="n">
        <v>25.86</v>
      </c>
      <c r="M574" s="20" t="n">
        <v>0</v>
      </c>
      <c r="N574" s="20">
        <f>K574*0.08+L574*0.08</f>
        <v/>
      </c>
      <c r="O574" s="20">
        <f>-(K574*0.025+L574*0.025)</f>
        <v/>
      </c>
      <c r="P574" s="20">
        <f>32</f>
        <v/>
      </c>
      <c r="Q574" s="20">
        <f>J574+L574+N574+O574-P574-M574</f>
        <v/>
      </c>
    </row>
    <row r="575">
      <c r="A575" s="19" t="inlineStr">
        <is>
          <t>6.12-6.18</t>
        </is>
      </c>
      <c r="B575" s="19" t="inlineStr">
        <is>
          <t>PO-128-12565445223031809</t>
        </is>
      </c>
      <c r="C575" s="19" t="inlineStr">
        <is>
          <t>Delivered</t>
        </is>
      </c>
      <c r="D575" s="19" t="inlineStr">
        <is>
          <t>128-12565403279991809</t>
        </is>
      </c>
      <c r="E575" s="19" t="inlineStr">
        <is>
          <t>Delivered</t>
        </is>
      </c>
      <c r="F575" s="19" t="inlineStr">
        <is>
          <t>BS-01</t>
        </is>
      </c>
      <c r="G57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5" s="19" t="inlineStr">
        <is>
          <t>BS-01</t>
        </is>
      </c>
      <c r="I575" s="19" t="n">
        <v>1</v>
      </c>
      <c r="J575" s="20" t="n">
        <v>219</v>
      </c>
      <c r="K575" s="20" t="n">
        <v>257.6</v>
      </c>
      <c r="L575" s="20" t="n">
        <v>25.86</v>
      </c>
      <c r="M575" s="20" t="n">
        <v>0</v>
      </c>
      <c r="N575" s="20">
        <f>K575*0.08+L575*0.08</f>
        <v/>
      </c>
      <c r="O575" s="20">
        <f>-(K575*0.025+L575*0.025)</f>
        <v/>
      </c>
      <c r="P575" s="20">
        <f>32</f>
        <v/>
      </c>
      <c r="Q575" s="20">
        <f>J575+L575+N575+O575-P575-M575</f>
        <v/>
      </c>
    </row>
    <row r="576">
      <c r="A576" s="19" t="inlineStr">
        <is>
          <t>6.12-6.18</t>
        </is>
      </c>
      <c r="B576" s="19" t="inlineStr">
        <is>
          <t>PO-128-12955051541113644</t>
        </is>
      </c>
      <c r="C576" s="19" t="inlineStr">
        <is>
          <t>Delivered</t>
        </is>
      </c>
      <c r="D576" s="19" t="inlineStr">
        <is>
          <t>128-12955082998393644</t>
        </is>
      </c>
      <c r="E576" s="19" t="inlineStr">
        <is>
          <t>Delivered</t>
        </is>
      </c>
      <c r="F576" s="19" t="inlineStr">
        <is>
          <t>BS-01</t>
        </is>
      </c>
      <c r="G57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6" s="19" t="inlineStr">
        <is>
          <t>BS-01</t>
        </is>
      </c>
      <c r="I576" s="19" t="n">
        <v>1</v>
      </c>
      <c r="J576" s="20" t="n">
        <v>219</v>
      </c>
      <c r="K576" s="20" t="n">
        <v>257.6</v>
      </c>
      <c r="L576" s="20" t="n">
        <v>25.86</v>
      </c>
      <c r="M576" s="20" t="n">
        <v>0</v>
      </c>
      <c r="N576" s="20">
        <f>K576*0.08+L576*0.08</f>
        <v/>
      </c>
      <c r="O576" s="20">
        <f>-(K576*0.025+L576*0.025)</f>
        <v/>
      </c>
      <c r="P576" s="20">
        <f>32</f>
        <v/>
      </c>
      <c r="Q576" s="20">
        <f>J576+L576+N576+O576-P576-M576</f>
        <v/>
      </c>
    </row>
    <row r="577">
      <c r="A577" s="19" t="inlineStr">
        <is>
          <t>6.12-6.18</t>
        </is>
      </c>
      <c r="B577" s="19" t="inlineStr">
        <is>
          <t>PO-128-12620005499511611</t>
        </is>
      </c>
      <c r="C577" s="19" t="inlineStr">
        <is>
          <t>Delivered</t>
        </is>
      </c>
      <c r="D577" s="19" t="inlineStr">
        <is>
          <t>128-12620141814391611</t>
        </is>
      </c>
      <c r="E577" s="19" t="inlineStr">
        <is>
          <t>Delivered</t>
        </is>
      </c>
      <c r="F577" s="19" t="inlineStr">
        <is>
          <t>BS-01</t>
        </is>
      </c>
      <c r="G57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7" s="19" t="inlineStr">
        <is>
          <t>BS-01</t>
        </is>
      </c>
      <c r="I577" s="19" t="n">
        <v>1</v>
      </c>
      <c r="J577" s="20" t="n">
        <v>219</v>
      </c>
      <c r="K577" s="20" t="n">
        <v>257.6</v>
      </c>
      <c r="L577" s="20" t="n">
        <v>25.86</v>
      </c>
      <c r="M577" s="20" t="n">
        <v>0</v>
      </c>
      <c r="N577" s="20">
        <f>K577*0.08+L577*0.08</f>
        <v/>
      </c>
      <c r="O577" s="20">
        <f>-(K577*0.025+L577*0.025)</f>
        <v/>
      </c>
      <c r="P577" s="20">
        <f>32</f>
        <v/>
      </c>
      <c r="Q577" s="20">
        <f>J577+L577+N577+O577-P577-M577</f>
        <v/>
      </c>
    </row>
    <row r="578">
      <c r="A578" s="19" t="inlineStr">
        <is>
          <t>6.12-6.18</t>
        </is>
      </c>
      <c r="B578" s="19" t="inlineStr">
        <is>
          <t>PO-128-12419610665590692</t>
        </is>
      </c>
      <c r="C578" s="19" t="inlineStr">
        <is>
          <t>Delivered</t>
        </is>
      </c>
      <c r="D578" s="19" t="inlineStr">
        <is>
          <t>128-12419631637110692</t>
        </is>
      </c>
      <c r="E578" s="19" t="inlineStr">
        <is>
          <t>Delivered</t>
        </is>
      </c>
      <c r="F578" s="19" t="inlineStr">
        <is>
          <t>BS-09</t>
        </is>
      </c>
      <c r="G578" s="19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78" s="19" t="inlineStr">
        <is>
          <t>NEGRO</t>
        </is>
      </c>
      <c r="I578" s="19" t="n">
        <v>1</v>
      </c>
      <c r="J578" s="20" t="n">
        <v>118</v>
      </c>
      <c r="K578" s="20" t="n">
        <v>146.38</v>
      </c>
      <c r="L578" s="20" t="n">
        <v>25.86</v>
      </c>
      <c r="M578" s="20" t="n">
        <v>0</v>
      </c>
      <c r="N578" s="20">
        <f>K578*0.08+L578*0.08</f>
        <v/>
      </c>
      <c r="O578" s="20">
        <f>-(K578*0.025+L578*0.025)</f>
        <v/>
      </c>
      <c r="P578" s="20">
        <f>32</f>
        <v/>
      </c>
      <c r="Q578" s="20">
        <f>J578+L578+N578+O578-P578-M578</f>
        <v/>
      </c>
    </row>
    <row r="579">
      <c r="A579" s="19" t="inlineStr">
        <is>
          <t>6.12-6.18</t>
        </is>
      </c>
      <c r="B579" s="19" t="inlineStr">
        <is>
          <t>PO-128-12384373903990966</t>
        </is>
      </c>
      <c r="C579" s="19" t="inlineStr">
        <is>
          <t>Delivered</t>
        </is>
      </c>
      <c r="D579" s="19" t="inlineStr">
        <is>
          <t>128-12384426332790966</t>
        </is>
      </c>
      <c r="E579" s="19" t="inlineStr">
        <is>
          <t>Delivered</t>
        </is>
      </c>
      <c r="F579" s="19" t="inlineStr">
        <is>
          <t>BS-01</t>
        </is>
      </c>
      <c r="G57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79" s="19" t="inlineStr">
        <is>
          <t>BS-01</t>
        </is>
      </c>
      <c r="I579" s="19" t="n">
        <v>1</v>
      </c>
      <c r="J579" s="20" t="n">
        <v>219</v>
      </c>
      <c r="K579" s="20" t="n">
        <v>257.6</v>
      </c>
      <c r="L579" s="20" t="n">
        <v>25.86</v>
      </c>
      <c r="M579" s="20" t="n">
        <v>0</v>
      </c>
      <c r="N579" s="20">
        <f>K579*0.08+L579*0.08</f>
        <v/>
      </c>
      <c r="O579" s="20">
        <f>-(K579*0.025+L579*0.025)</f>
        <v/>
      </c>
      <c r="P579" s="20">
        <f>32</f>
        <v/>
      </c>
      <c r="Q579" s="20">
        <f>J579+L579+N579+O579-P579-M579</f>
        <v/>
      </c>
    </row>
    <row r="580">
      <c r="A580" s="19" t="inlineStr">
        <is>
          <t>6.12-6.18</t>
        </is>
      </c>
      <c r="B580" s="19" t="inlineStr">
        <is>
          <t>PO-128-01613300577911550</t>
        </is>
      </c>
      <c r="C580" s="19" t="inlineStr">
        <is>
          <t>Delivered</t>
        </is>
      </c>
      <c r="D580" s="19" t="inlineStr">
        <is>
          <t>128-01613355628151550</t>
        </is>
      </c>
      <c r="E580" s="19" t="inlineStr">
        <is>
          <t>Delivered</t>
        </is>
      </c>
      <c r="F580" s="19" t="inlineStr">
        <is>
          <t>BS-09</t>
        </is>
      </c>
      <c r="G580" s="19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80" s="19" t="inlineStr">
        <is>
          <t>NEGRO</t>
        </is>
      </c>
      <c r="I580" s="19" t="n">
        <v>1</v>
      </c>
      <c r="J580" s="20" t="n">
        <v>118</v>
      </c>
      <c r="K580" s="20" t="n">
        <v>146.38</v>
      </c>
      <c r="L580" s="20" t="n">
        <v>25.86</v>
      </c>
      <c r="M580" s="20" t="n">
        <v>0</v>
      </c>
      <c r="N580" s="20">
        <f>K580*0.08+L580*0.08</f>
        <v/>
      </c>
      <c r="O580" s="20">
        <f>-(K580*0.025+L580*0.025)</f>
        <v/>
      </c>
      <c r="P580" s="20">
        <f>32</f>
        <v/>
      </c>
      <c r="Q580" s="20">
        <f>J580+L580+N580+O580-P580-M580</f>
        <v/>
      </c>
    </row>
    <row r="581">
      <c r="A581" s="19" t="inlineStr">
        <is>
          <t>6.12-6.18</t>
        </is>
      </c>
      <c r="B581" s="19" t="inlineStr">
        <is>
          <t>PO-128-01409330750070846</t>
        </is>
      </c>
      <c r="C581" s="19" t="inlineStr">
        <is>
          <t>Delivered</t>
        </is>
      </c>
      <c r="D581" s="19" t="inlineStr">
        <is>
          <t>128-01409372693110846</t>
        </is>
      </c>
      <c r="E581" s="19" t="inlineStr">
        <is>
          <t>Delivered</t>
        </is>
      </c>
      <c r="F581" s="19" t="inlineStr">
        <is>
          <t>BS-01</t>
        </is>
      </c>
      <c r="G58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1" s="19" t="inlineStr">
        <is>
          <t>BS-01</t>
        </is>
      </c>
      <c r="I581" s="19" t="n">
        <v>1</v>
      </c>
      <c r="J581" s="20" t="n">
        <v>219</v>
      </c>
      <c r="K581" s="20" t="n">
        <v>257.6</v>
      </c>
      <c r="L581" s="20" t="n">
        <v>25.86</v>
      </c>
      <c r="M581" s="20" t="n">
        <v>0</v>
      </c>
      <c r="N581" s="20">
        <f>K581*0.08+L581*0.08</f>
        <v/>
      </c>
      <c r="O581" s="20">
        <f>-(K581*0.025+L581*0.025)</f>
        <v/>
      </c>
      <c r="P581" s="20">
        <f>32</f>
        <v/>
      </c>
      <c r="Q581" s="20">
        <f>J581+L581+N581+O581-P581-M581</f>
        <v/>
      </c>
    </row>
    <row r="582">
      <c r="A582" s="19" t="inlineStr">
        <is>
          <t>6.12-6.18</t>
        </is>
      </c>
      <c r="B582" s="19" t="inlineStr">
        <is>
          <t>PO-128-01510537841270181</t>
        </is>
      </c>
      <c r="C582" s="19" t="inlineStr">
        <is>
          <t>Delivered</t>
        </is>
      </c>
      <c r="D582" s="19" t="inlineStr">
        <is>
          <t>128-01510619761270181</t>
        </is>
      </c>
      <c r="E582" s="19" t="inlineStr">
        <is>
          <t>Delivered</t>
        </is>
      </c>
      <c r="F582" s="19" t="inlineStr">
        <is>
          <t>BS-01</t>
        </is>
      </c>
      <c r="G58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2" s="19" t="inlineStr">
        <is>
          <t>BS-01</t>
        </is>
      </c>
      <c r="I582" s="19" t="n">
        <v>1</v>
      </c>
      <c r="J582" s="20" t="n">
        <v>219</v>
      </c>
      <c r="K582" s="20" t="n">
        <v>257.6</v>
      </c>
      <c r="L582" s="20" t="n">
        <v>25.86</v>
      </c>
      <c r="M582" s="20" t="n">
        <v>0</v>
      </c>
      <c r="N582" s="20">
        <f>K582*0.08+L582*0.08</f>
        <v/>
      </c>
      <c r="O582" s="20">
        <f>-(K582*0.025+L582*0.025)</f>
        <v/>
      </c>
      <c r="P582" s="20">
        <f>32</f>
        <v/>
      </c>
      <c r="Q582" s="20">
        <f>J582+L582+N582+O582-P582-M582</f>
        <v/>
      </c>
    </row>
    <row r="583">
      <c r="A583" s="19" t="inlineStr">
        <is>
          <t>6.12-6.18</t>
        </is>
      </c>
      <c r="B583" s="19" t="inlineStr">
        <is>
          <t>PO-128-01678096425591164</t>
        </is>
      </c>
      <c r="C583" s="19" t="inlineStr">
        <is>
          <t>Delivered</t>
        </is>
      </c>
      <c r="D583" s="19" t="inlineStr">
        <is>
          <t>128-01678201283191164</t>
        </is>
      </c>
      <c r="E583" s="19" t="inlineStr">
        <is>
          <t>Delivered</t>
        </is>
      </c>
      <c r="F583" s="19" t="inlineStr">
        <is>
          <t>BS-01</t>
        </is>
      </c>
      <c r="G58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3" s="19" t="inlineStr">
        <is>
          <t>BS-01</t>
        </is>
      </c>
      <c r="I583" s="19" t="n">
        <v>1</v>
      </c>
      <c r="J583" s="20" t="n">
        <v>219</v>
      </c>
      <c r="K583" s="20" t="n">
        <v>257.6</v>
      </c>
      <c r="L583" s="20" t="n">
        <v>25.86</v>
      </c>
      <c r="M583" s="20" t="n">
        <v>0</v>
      </c>
      <c r="N583" s="20">
        <f>K583*0.08+L583*0.08</f>
        <v/>
      </c>
      <c r="O583" s="20">
        <f>-(K583*0.025+L583*0.025)</f>
        <v/>
      </c>
      <c r="P583" s="20">
        <f>32</f>
        <v/>
      </c>
      <c r="Q583" s="20">
        <f>J583+L583+N583+O583-P583-M583</f>
        <v/>
      </c>
    </row>
    <row r="584">
      <c r="A584" s="19" t="inlineStr">
        <is>
          <t>6.12-6.18</t>
        </is>
      </c>
      <c r="B584" s="19" t="inlineStr">
        <is>
          <t>PO-128-01648289383031534</t>
        </is>
      </c>
      <c r="C584" s="19" t="inlineStr">
        <is>
          <t>Delivered</t>
        </is>
      </c>
      <c r="D584" s="19" t="inlineStr">
        <is>
          <t>128-01648341811831534</t>
        </is>
      </c>
      <c r="E584" s="19" t="inlineStr">
        <is>
          <t>Delivered</t>
        </is>
      </c>
      <c r="F584" s="19" t="inlineStr">
        <is>
          <t>BS-01</t>
        </is>
      </c>
      <c r="G58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4" s="19" t="inlineStr">
        <is>
          <t>BS-01</t>
        </is>
      </c>
      <c r="I584" s="19" t="n">
        <v>1</v>
      </c>
      <c r="J584" s="20" t="n">
        <v>219</v>
      </c>
      <c r="K584" s="20" t="n">
        <v>257.6</v>
      </c>
      <c r="L584" s="20" t="n">
        <v>25.86</v>
      </c>
      <c r="M584" s="20" t="n">
        <v>0</v>
      </c>
      <c r="N584" s="20">
        <f>K584*0.08+L584*0.08</f>
        <v/>
      </c>
      <c r="O584" s="20">
        <f>-(K584*0.025+L584*0.025)</f>
        <v/>
      </c>
      <c r="P584" s="20">
        <f>32</f>
        <v/>
      </c>
      <c r="Q584" s="20">
        <f>J584+L584+N584+O584-P584-M584</f>
        <v/>
      </c>
    </row>
    <row r="585">
      <c r="A585" s="19" t="inlineStr">
        <is>
          <t>6.12-6.18</t>
        </is>
      </c>
      <c r="B585" s="19" t="inlineStr">
        <is>
          <t>PO-128-01733456159353010</t>
        </is>
      </c>
      <c r="C585" s="19" t="inlineStr">
        <is>
          <t>Delivered</t>
        </is>
      </c>
      <c r="D585" s="19" t="inlineStr">
        <is>
          <t>128-01733435187833010</t>
        </is>
      </c>
      <c r="E585" s="19" t="inlineStr">
        <is>
          <t>Delivered</t>
        </is>
      </c>
      <c r="F585" s="19" t="inlineStr">
        <is>
          <t>BS-01</t>
        </is>
      </c>
      <c r="G58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5" s="19" t="inlineStr">
        <is>
          <t>BS-01</t>
        </is>
      </c>
      <c r="I585" s="19" t="n">
        <v>1</v>
      </c>
      <c r="J585" s="20" t="n">
        <v>219</v>
      </c>
      <c r="K585" s="20" t="n">
        <v>257.6</v>
      </c>
      <c r="L585" s="20" t="n">
        <v>25.86</v>
      </c>
      <c r="M585" s="20" t="n">
        <v>0</v>
      </c>
      <c r="N585" s="20">
        <f>K585*0.08+L585*0.08</f>
        <v/>
      </c>
      <c r="O585" s="20">
        <f>-(K585*0.025+L585*0.025)</f>
        <v/>
      </c>
      <c r="P585" s="20">
        <f>32</f>
        <v/>
      </c>
      <c r="Q585" s="20">
        <f>J585+L585+N585+O585-P585-M585</f>
        <v/>
      </c>
    </row>
    <row r="586">
      <c r="A586" s="19" t="inlineStr">
        <is>
          <t>6.12-6.18</t>
        </is>
      </c>
      <c r="B586" s="19" t="inlineStr">
        <is>
          <t>PO-128-01648188478071473</t>
        </is>
      </c>
      <c r="C586" s="19" t="inlineStr">
        <is>
          <t>Delivered</t>
        </is>
      </c>
      <c r="D586" s="19" t="inlineStr">
        <is>
          <t>128-01648146535031473</t>
        </is>
      </c>
      <c r="E586" s="19" t="inlineStr">
        <is>
          <t>Delivered</t>
        </is>
      </c>
      <c r="F586" s="19" t="inlineStr">
        <is>
          <t>BS-09</t>
        </is>
      </c>
      <c r="G586" s="19" t="inlineStr">
        <is>
          <t>Barra de Sonido Bluetooth 1 Pieza con Luces RGB Rítmicas Sonido Estéreo Graves Potentes Compatible con Tarjeta TF USB Radio FM Entrada AUX Función TWS y Llamadas Manos Libres Batería de Larga Duración Carga Tipo-C Altavoz Compacto para Escritorio Gamer Hogar Oficina Celular y Televisor</t>
        </is>
      </c>
      <c r="H586" s="19" t="inlineStr">
        <is>
          <t>NEGRO</t>
        </is>
      </c>
      <c r="I586" s="19" t="n">
        <v>1</v>
      </c>
      <c r="J586" s="20" t="n">
        <v>118</v>
      </c>
      <c r="K586" s="20" t="n">
        <v>146.38</v>
      </c>
      <c r="L586" s="20" t="n">
        <v>25.86</v>
      </c>
      <c r="M586" s="20" t="n">
        <v>0</v>
      </c>
      <c r="N586" s="20">
        <f>K586*0.08+L586*0.08</f>
        <v/>
      </c>
      <c r="O586" s="20">
        <f>-(K586*0.025+L586*0.025)</f>
        <v/>
      </c>
      <c r="P586" s="20">
        <f>32</f>
        <v/>
      </c>
      <c r="Q586" s="20">
        <f>J586+L586+N586+O586-P586-M586</f>
        <v/>
      </c>
    </row>
    <row r="587">
      <c r="A587" s="19" t="inlineStr">
        <is>
          <t>6.12-6.18</t>
        </is>
      </c>
      <c r="B587" s="19" t="inlineStr">
        <is>
          <t>PO-128-01810334863992488</t>
        </is>
      </c>
      <c r="C587" s="19" t="inlineStr">
        <is>
          <t>Delivered</t>
        </is>
      </c>
      <c r="D587" s="19" t="inlineStr">
        <is>
          <t>128-01810376807032488</t>
        </is>
      </c>
      <c r="E587" s="19" t="inlineStr">
        <is>
          <t>Delivered</t>
        </is>
      </c>
      <c r="F587" s="19" t="inlineStr">
        <is>
          <t>BS-01</t>
        </is>
      </c>
      <c r="G58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7" s="19" t="inlineStr">
        <is>
          <t>BS-01</t>
        </is>
      </c>
      <c r="I587" s="19" t="n">
        <v>1</v>
      </c>
      <c r="J587" s="20" t="n">
        <v>219</v>
      </c>
      <c r="K587" s="20" t="n">
        <v>257.6</v>
      </c>
      <c r="L587" s="20" t="n">
        <v>25.86</v>
      </c>
      <c r="M587" s="20" t="n">
        <v>0</v>
      </c>
      <c r="N587" s="20">
        <f>K587*0.08+L587*0.08</f>
        <v/>
      </c>
      <c r="O587" s="20">
        <f>-(K587*0.025+L587*0.025)</f>
        <v/>
      </c>
      <c r="P587" s="20">
        <f>32</f>
        <v/>
      </c>
      <c r="Q587" s="20">
        <f>J587+L587+N587+O587-P587-M587</f>
        <v/>
      </c>
    </row>
    <row r="588">
      <c r="A588" s="19" t="inlineStr">
        <is>
          <t>6.12-6.18</t>
        </is>
      </c>
      <c r="B588" s="19" t="inlineStr">
        <is>
          <t>PO-128-01555985797751956</t>
        </is>
      </c>
      <c r="C588" s="19" t="inlineStr">
        <is>
          <t>Delivered</t>
        </is>
      </c>
      <c r="D588" s="19" t="inlineStr">
        <is>
          <t>128-01556027740791956</t>
        </is>
      </c>
      <c r="E588" s="19" t="inlineStr">
        <is>
          <t>Delivered</t>
        </is>
      </c>
      <c r="F588" s="19" t="inlineStr">
        <is>
          <t>BS-01</t>
        </is>
      </c>
      <c r="G58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8" s="19" t="inlineStr">
        <is>
          <t>BS-01</t>
        </is>
      </c>
      <c r="I588" s="19" t="n">
        <v>1</v>
      </c>
      <c r="J588" s="20" t="n">
        <v>219</v>
      </c>
      <c r="K588" s="20" t="n">
        <v>231.84</v>
      </c>
      <c r="L588" s="20" t="n">
        <v>25.86</v>
      </c>
      <c r="M588" s="20" t="n">
        <v>0</v>
      </c>
      <c r="N588" s="20">
        <f>K588*0.08+L588*0.08</f>
        <v/>
      </c>
      <c r="O588" s="20">
        <f>-(K588*0.025+L588*0.025)</f>
        <v/>
      </c>
      <c r="P588" s="20">
        <f>32</f>
        <v/>
      </c>
      <c r="Q588" s="20">
        <f>J588+L588+N588+O588-P588-M588</f>
        <v/>
      </c>
    </row>
    <row r="589">
      <c r="A589" s="19" t="inlineStr">
        <is>
          <t>6.12-6.18</t>
        </is>
      </c>
      <c r="B589" s="19" t="inlineStr">
        <is>
          <t>PO-128-01815530578552523</t>
        </is>
      </c>
      <c r="C589" s="19" t="inlineStr">
        <is>
          <t>Delivered</t>
        </is>
      </c>
      <c r="D589" s="19" t="inlineStr">
        <is>
          <t>128-01815488635512523</t>
        </is>
      </c>
      <c r="E589" s="19" t="inlineStr">
        <is>
          <t>Delivered</t>
        </is>
      </c>
      <c r="F589" s="19" t="inlineStr">
        <is>
          <t>BS-01</t>
        </is>
      </c>
      <c r="G58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89" s="19" t="inlineStr">
        <is>
          <t>BS-01</t>
        </is>
      </c>
      <c r="I589" s="19" t="n">
        <v>1</v>
      </c>
      <c r="J589" s="20" t="n">
        <v>219</v>
      </c>
      <c r="K589" s="20" t="n">
        <v>257.6</v>
      </c>
      <c r="L589" s="20" t="n">
        <v>25.86</v>
      </c>
      <c r="M589" s="20" t="n">
        <v>0</v>
      </c>
      <c r="N589" s="20">
        <f>K589*0.08+L589*0.08</f>
        <v/>
      </c>
      <c r="O589" s="20">
        <f>-(K589*0.025+L589*0.025)</f>
        <v/>
      </c>
      <c r="P589" s="20">
        <f>32</f>
        <v/>
      </c>
      <c r="Q589" s="20">
        <f>J589+L589+N589+O589-P589-M589</f>
        <v/>
      </c>
    </row>
    <row r="590">
      <c r="A590" s="19" t="inlineStr">
        <is>
          <t>6.12-6.18</t>
        </is>
      </c>
      <c r="B590" s="19" t="inlineStr">
        <is>
          <t>PO-128-01637464187511470</t>
        </is>
      </c>
      <c r="C590" s="19" t="inlineStr">
        <is>
          <t>Delivered</t>
        </is>
      </c>
      <c r="D590" s="19" t="inlineStr">
        <is>
          <t>128-01637532344951470</t>
        </is>
      </c>
      <c r="E590" s="19" t="inlineStr">
        <is>
          <t>Delivered</t>
        </is>
      </c>
      <c r="F590" s="19" t="inlineStr">
        <is>
          <t>BS-09</t>
        </is>
      </c>
      <c r="G590" s="19" t="inlineStr">
        <is>
          <t>Altavoz de barra para PC con iluminación RGB, sonido de alta fidelidad y múltiples conexiones: Bluetooth, radio FM, USB, TF, AUX y TWS. Ideal para juegos, reuniones y cine en casa.</t>
        </is>
      </c>
      <c r="H590" s="19" t="inlineStr">
        <is>
          <t>NEGRO</t>
        </is>
      </c>
      <c r="I590" s="19" t="n">
        <v>1</v>
      </c>
      <c r="J590" s="20" t="n">
        <v>118</v>
      </c>
      <c r="K590" s="20" t="n">
        <v>117.1</v>
      </c>
      <c r="L590" s="20" t="n">
        <v>25.86</v>
      </c>
      <c r="M590" s="20" t="n">
        <v>25.86</v>
      </c>
      <c r="N590" s="20">
        <f>K590*0.08+L590*0.08</f>
        <v/>
      </c>
      <c r="O590" s="20">
        <f>-(K590*0.025+L590*0.025)</f>
        <v/>
      </c>
      <c r="P590" s="20">
        <f>32</f>
        <v/>
      </c>
      <c r="Q590" s="20">
        <f>J590+L590+N590+O590-P590-M590</f>
        <v/>
      </c>
    </row>
    <row r="591">
      <c r="A591" s="19" t="inlineStr">
        <is>
          <t>6.12-6.18</t>
        </is>
      </c>
      <c r="B591" s="19" t="inlineStr">
        <is>
          <t>PO-128-01436444283510751</t>
        </is>
      </c>
      <c r="C591" s="19" t="inlineStr">
        <is>
          <t>Delivered</t>
        </is>
      </c>
      <c r="D591" s="19" t="inlineStr">
        <is>
          <t>128-01436402340470751</t>
        </is>
      </c>
      <c r="E591" s="19" t="inlineStr">
        <is>
          <t>Delivered</t>
        </is>
      </c>
      <c r="F591" s="19" t="inlineStr">
        <is>
          <t>BS-07AM</t>
        </is>
      </c>
      <c r="G591" s="19" t="inlineStr">
        <is>
          <t>Altavoz Inalámbrico Portátil con Diseño Retro, Bajos Optimizados y Sonido 3D Envolvente,Compatible con TF/FM/AUX, Conexión BT TWS. Ideal para Home Theater, Fiestas y Regalos​</t>
        </is>
      </c>
      <c r="H591" s="19" t="inlineStr">
        <is>
          <t>BS-07AM</t>
        </is>
      </c>
      <c r="I591" s="19" t="n">
        <v>1</v>
      </c>
      <c r="J591" s="20" t="n">
        <v>135</v>
      </c>
      <c r="K591" s="20" t="n">
        <v>153.68</v>
      </c>
      <c r="L591" s="20" t="n">
        <v>25.86</v>
      </c>
      <c r="M591" s="20" t="n">
        <v>0</v>
      </c>
      <c r="N591" s="20">
        <f>K591*0.08+L591*0.08</f>
        <v/>
      </c>
      <c r="O591" s="20">
        <f>-(K591*0.025+L591*0.025)</f>
        <v/>
      </c>
      <c r="P591" s="20">
        <f>32</f>
        <v/>
      </c>
      <c r="Q591" s="20">
        <f>J591+L591+N591+O591-P591-M591</f>
        <v/>
      </c>
    </row>
    <row r="592">
      <c r="A592" s="19" t="inlineStr">
        <is>
          <t>6.12-6.18</t>
        </is>
      </c>
      <c r="B592" s="19" t="inlineStr">
        <is>
          <t>PO-128-02000021944953343</t>
        </is>
      </c>
      <c r="C592" s="19" t="inlineStr">
        <is>
          <t>Delivered</t>
        </is>
      </c>
      <c r="D592" s="19" t="inlineStr">
        <is>
          <t>128-02000173988473343</t>
        </is>
      </c>
      <c r="E592" s="19" t="inlineStr">
        <is>
          <t>Delivered</t>
        </is>
      </c>
      <c r="F592" s="19" t="inlineStr">
        <is>
          <t>BS-09</t>
        </is>
      </c>
      <c r="G592" s="19" t="inlineStr">
        <is>
          <t>Altavoz de barra para PC con iluminación RGB, sonido de alta fidelidad y múltiples conexiones: Bluetooth, radio FM, USB, TF, AUX y TWS. Ideal para juegos, reuniones y cine en casa.</t>
        </is>
      </c>
      <c r="H592" s="19" t="inlineStr">
        <is>
          <t>NEGRO</t>
        </is>
      </c>
      <c r="I592" s="19" t="n">
        <v>1</v>
      </c>
      <c r="J592" s="20" t="n">
        <v>118</v>
      </c>
      <c r="K592" s="20" t="n">
        <v>146.38</v>
      </c>
      <c r="L592" s="20" t="n">
        <v>25.86</v>
      </c>
      <c r="M592" s="20" t="n">
        <v>0</v>
      </c>
      <c r="N592" s="20">
        <f>K592*0.08+L592*0.08</f>
        <v/>
      </c>
      <c r="O592" s="20">
        <f>-(K592*0.025+L592*0.025)</f>
        <v/>
      </c>
      <c r="P592" s="20">
        <f>32</f>
        <v/>
      </c>
      <c r="Q592" s="20">
        <f>J592+L592+N592+O592-P592-M592</f>
        <v/>
      </c>
    </row>
    <row r="593">
      <c r="A593" s="19" t="inlineStr">
        <is>
          <t>6.12-6.18</t>
        </is>
      </c>
      <c r="B593" s="19" t="inlineStr">
        <is>
          <t>PO-128-01482749020790283</t>
        </is>
      </c>
      <c r="C593" s="19" t="inlineStr">
        <is>
          <t>Delivered</t>
        </is>
      </c>
      <c r="D593" s="19" t="inlineStr">
        <is>
          <t>128-01482707077750283</t>
        </is>
      </c>
      <c r="E593" s="19" t="inlineStr">
        <is>
          <t>Delivered</t>
        </is>
      </c>
      <c r="F593" s="19" t="inlineStr">
        <is>
          <t>BS-01</t>
        </is>
      </c>
      <c r="G59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93" s="19" t="inlineStr">
        <is>
          <t>BS-01</t>
        </is>
      </c>
      <c r="I593" s="19" t="n">
        <v>1</v>
      </c>
      <c r="J593" s="20" t="n">
        <v>219</v>
      </c>
      <c r="K593" s="20" t="n">
        <v>206.08</v>
      </c>
      <c r="L593" s="20" t="n">
        <v>25.86</v>
      </c>
      <c r="M593" s="20" t="n">
        <v>0</v>
      </c>
      <c r="N593" s="20">
        <f>K593*0.08+L593*0.08</f>
        <v/>
      </c>
      <c r="O593" s="20">
        <f>-(K593*0.025+L593*0.025)</f>
        <v/>
      </c>
      <c r="P593" s="20">
        <f>32</f>
        <v/>
      </c>
      <c r="Q593" s="20">
        <f>J593+L593+N593+O593-P593-M593</f>
        <v/>
      </c>
    </row>
    <row r="594">
      <c r="A594" s="19" t="inlineStr">
        <is>
          <t>6.12-6.18</t>
        </is>
      </c>
      <c r="B594" s="19" t="inlineStr">
        <is>
          <t>PO-128-21089281206392203</t>
        </is>
      </c>
      <c r="C594" s="19" t="inlineStr">
        <is>
          <t>Delivered</t>
        </is>
      </c>
      <c r="D594" s="19" t="inlineStr">
        <is>
          <t>128-21089260234872203</t>
        </is>
      </c>
      <c r="E594" s="19" t="inlineStr">
        <is>
          <t>Delivered</t>
        </is>
      </c>
      <c r="F594" s="19" t="inlineStr">
        <is>
          <t>BS-01</t>
        </is>
      </c>
      <c r="G59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94" s="19" t="inlineStr">
        <is>
          <t>BS-01</t>
        </is>
      </c>
      <c r="I594" s="19" t="n">
        <v>1</v>
      </c>
      <c r="J594" s="20" t="n">
        <v>219</v>
      </c>
      <c r="K594" s="20" t="n">
        <v>257.6</v>
      </c>
      <c r="L594" s="20" t="n">
        <v>25.86</v>
      </c>
      <c r="M594" s="20" t="n">
        <v>0</v>
      </c>
      <c r="N594" s="20">
        <f>K594*0.08+L594*0.08</f>
        <v/>
      </c>
      <c r="O594" s="20">
        <f>-(K594*0.025+L594*0.025)</f>
        <v/>
      </c>
      <c r="P594" s="20">
        <f>32</f>
        <v/>
      </c>
      <c r="Q594" s="20">
        <f>J594+L594+N594+O594-P594-M594</f>
        <v/>
      </c>
    </row>
    <row r="595">
      <c r="A595" s="19" t="inlineStr">
        <is>
          <t>6.12-6.18</t>
        </is>
      </c>
      <c r="B595" s="19" t="inlineStr">
        <is>
          <t>PO-128-21266640356473257</t>
        </is>
      </c>
      <c r="C595" s="19" t="inlineStr">
        <is>
          <t>Delivered</t>
        </is>
      </c>
      <c r="D595" s="19" t="inlineStr">
        <is>
          <t>128-21266666570873257</t>
        </is>
      </c>
      <c r="E595" s="19" t="inlineStr">
        <is>
          <t>Delivered</t>
        </is>
      </c>
      <c r="F595" s="19" t="inlineStr">
        <is>
          <t>BS-01</t>
        </is>
      </c>
      <c r="G59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95" s="19" t="inlineStr">
        <is>
          <t>BS-01</t>
        </is>
      </c>
      <c r="I595" s="19" t="n">
        <v>1</v>
      </c>
      <c r="J595" s="20" t="n">
        <v>219</v>
      </c>
      <c r="K595" s="20" t="n">
        <v>257.6</v>
      </c>
      <c r="L595" s="20" t="n">
        <v>25.86</v>
      </c>
      <c r="M595" s="20" t="n">
        <v>0</v>
      </c>
      <c r="N595" s="20">
        <f>K595*0.08+L595*0.08</f>
        <v/>
      </c>
      <c r="O595" s="20">
        <f>-(K595*0.025+L595*0.025)</f>
        <v/>
      </c>
      <c r="P595" s="20">
        <f>32</f>
        <v/>
      </c>
      <c r="Q595" s="20">
        <f>J595+L595+N595+O595-P595-M595</f>
        <v/>
      </c>
    </row>
    <row r="596">
      <c r="A596" s="19" t="inlineStr">
        <is>
          <t>6.12-6.18</t>
        </is>
      </c>
      <c r="B596" s="19" t="inlineStr">
        <is>
          <t>PO-128-21278919811193310</t>
        </is>
      </c>
      <c r="C596" s="19" t="inlineStr">
        <is>
          <t>Delivered</t>
        </is>
      </c>
      <c r="D596" s="19" t="inlineStr">
        <is>
          <t>128-21279024668793310</t>
        </is>
      </c>
      <c r="E596" s="19" t="inlineStr">
        <is>
          <t>Delivered</t>
        </is>
      </c>
      <c r="F596" s="19" t="inlineStr">
        <is>
          <t>BS-01</t>
        </is>
      </c>
      <c r="G59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96" s="19" t="inlineStr">
        <is>
          <t>BS-01</t>
        </is>
      </c>
      <c r="I596" s="19" t="n">
        <v>1</v>
      </c>
      <c r="J596" s="20" t="n">
        <v>219</v>
      </c>
      <c r="K596" s="20" t="n">
        <v>257.6</v>
      </c>
      <c r="L596" s="20" t="n">
        <v>25.86</v>
      </c>
      <c r="M596" s="20" t="n">
        <v>0</v>
      </c>
      <c r="N596" s="20">
        <f>K596*0.08+L596*0.08</f>
        <v/>
      </c>
      <c r="O596" s="20">
        <f>-(K596*0.025+L596*0.025)</f>
        <v/>
      </c>
      <c r="P596" s="20">
        <f>32</f>
        <v/>
      </c>
      <c r="Q596" s="20">
        <f>J596+L596+N596+O596-P596-M596</f>
        <v/>
      </c>
    </row>
    <row r="597">
      <c r="A597" s="19" t="inlineStr">
        <is>
          <t>6.12-6.18</t>
        </is>
      </c>
      <c r="B597" s="19" t="inlineStr">
        <is>
          <t>PO-128-21117401034872099</t>
        </is>
      </c>
      <c r="C597" s="19" t="inlineStr">
        <is>
          <t>Delivered</t>
        </is>
      </c>
      <c r="D597" s="19" t="inlineStr">
        <is>
          <t>128-21117477056632099</t>
        </is>
      </c>
      <c r="E597" s="19" t="inlineStr">
        <is>
          <t>Delivered</t>
        </is>
      </c>
      <c r="F597" s="19" t="inlineStr">
        <is>
          <t>BS-09</t>
        </is>
      </c>
      <c r="G597" s="19" t="inlineStr">
        <is>
          <t>Altavoz de barra para PC con iluminación RGB, sonido de alta fidelidad y múltiples conexiones: Bluetooth, radio FM, USB, TF, AUX y TWS. Ideal para juegos, reuniones y cine en casa.</t>
        </is>
      </c>
      <c r="H597" s="19" t="inlineStr">
        <is>
          <t>NEGRO</t>
        </is>
      </c>
      <c r="I597" s="19" t="n">
        <v>1</v>
      </c>
      <c r="J597" s="20" t="n">
        <v>118</v>
      </c>
      <c r="K597" s="20" t="n">
        <v>146.38</v>
      </c>
      <c r="L597" s="20" t="n">
        <v>25.86</v>
      </c>
      <c r="M597" s="20" t="n">
        <v>0</v>
      </c>
      <c r="N597" s="20">
        <f>K597*0.08+L597*0.08</f>
        <v/>
      </c>
      <c r="O597" s="20">
        <f>-(K597*0.025+L597*0.025)</f>
        <v/>
      </c>
      <c r="P597" s="20">
        <f>32</f>
        <v/>
      </c>
      <c r="Q597" s="20">
        <f>J597+L597+N597+O597-P597-M597</f>
        <v/>
      </c>
    </row>
    <row r="598">
      <c r="A598" s="19" t="inlineStr">
        <is>
          <t>6.12-6.18</t>
        </is>
      </c>
      <c r="B598" s="19" t="inlineStr">
        <is>
          <t>PO-128-20762713121910245</t>
        </is>
      </c>
      <c r="C598" s="19" t="inlineStr">
        <is>
          <t>Delivered</t>
        </is>
      </c>
      <c r="D598" s="19" t="inlineStr">
        <is>
          <t>128-20762707879030245</t>
        </is>
      </c>
      <c r="E598" s="19" t="inlineStr">
        <is>
          <t>Delivered</t>
        </is>
      </c>
      <c r="F598" s="19" t="inlineStr">
        <is>
          <t>BS-01</t>
        </is>
      </c>
      <c r="G59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98" s="19" t="inlineStr">
        <is>
          <t>BS-01</t>
        </is>
      </c>
      <c r="I598" s="19" t="n">
        <v>1</v>
      </c>
      <c r="J598" s="20" t="n">
        <v>219</v>
      </c>
      <c r="K598" s="20" t="n">
        <v>257.6</v>
      </c>
      <c r="L598" s="20" t="n">
        <v>25.86</v>
      </c>
      <c r="M598" s="20" t="n">
        <v>0</v>
      </c>
      <c r="N598" s="20">
        <f>K598*0.08+L598*0.08</f>
        <v/>
      </c>
      <c r="O598" s="20">
        <f>-(K598*0.025+L598*0.025)</f>
        <v/>
      </c>
      <c r="P598" s="20">
        <f>32</f>
        <v/>
      </c>
      <c r="Q598" s="20">
        <f>J598+L598+N598+O598-P598-M598</f>
        <v/>
      </c>
    </row>
    <row r="599">
      <c r="A599" s="19" t="inlineStr">
        <is>
          <t>6.12-6.18</t>
        </is>
      </c>
      <c r="B599" s="19" t="inlineStr">
        <is>
          <t>PO-128-21186668147833796</t>
        </is>
      </c>
      <c r="C599" s="19" t="inlineStr">
        <is>
          <t>Delivered</t>
        </is>
      </c>
      <c r="D599" s="19" t="inlineStr">
        <is>
          <t>128-21186632758393796</t>
        </is>
      </c>
      <c r="E599" s="19" t="inlineStr">
        <is>
          <t>Delivered</t>
        </is>
      </c>
      <c r="F599" s="19" t="inlineStr">
        <is>
          <t>BS-01</t>
        </is>
      </c>
      <c r="G59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99" s="19" t="inlineStr">
        <is>
          <t>BS-01</t>
        </is>
      </c>
      <c r="I599" s="19" t="n">
        <v>1</v>
      </c>
      <c r="J599" s="20" t="n">
        <v>219</v>
      </c>
      <c r="K599" s="20" t="n">
        <v>257.6</v>
      </c>
      <c r="L599" s="20" t="n">
        <v>25.86</v>
      </c>
      <c r="M599" s="20" t="n">
        <v>0</v>
      </c>
      <c r="N599" s="20">
        <f>K599*0.08+L599*0.08</f>
        <v/>
      </c>
      <c r="O599" s="20">
        <f>-(K599*0.025+L599*0.025)</f>
        <v/>
      </c>
      <c r="P599" s="20">
        <f>32</f>
        <v/>
      </c>
      <c r="Q599" s="20">
        <f>J599+L599+N599+O599-P599-M599</f>
        <v/>
      </c>
    </row>
    <row r="600">
      <c r="A600" s="19" t="inlineStr">
        <is>
          <t>6.12-6.18</t>
        </is>
      </c>
      <c r="B600" s="19" t="inlineStr">
        <is>
          <t>PO-128-21144286543994051</t>
        </is>
      </c>
      <c r="C600" s="19" t="inlineStr">
        <is>
          <t>Delivered</t>
        </is>
      </c>
      <c r="D600" s="19" t="inlineStr">
        <is>
          <t>128-21144244600954051</t>
        </is>
      </c>
      <c r="E600" s="19" t="inlineStr">
        <is>
          <t>Delivered</t>
        </is>
      </c>
      <c r="F600" s="19" t="inlineStr">
        <is>
          <t>BS-01</t>
        </is>
      </c>
      <c r="G60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0" s="19" t="inlineStr">
        <is>
          <t>BS-01</t>
        </is>
      </c>
      <c r="I600" s="19" t="n">
        <v>1</v>
      </c>
      <c r="J600" s="20" t="n">
        <v>219</v>
      </c>
      <c r="K600" s="20" t="n">
        <v>257.6</v>
      </c>
      <c r="L600" s="20" t="n">
        <v>25.86</v>
      </c>
      <c r="M600" s="20" t="n">
        <v>0</v>
      </c>
      <c r="N600" s="20">
        <f>K600*0.08+L600*0.08</f>
        <v/>
      </c>
      <c r="O600" s="20">
        <f>-(K600*0.025+L600*0.025)</f>
        <v/>
      </c>
      <c r="P600" s="20">
        <f>32</f>
        <v/>
      </c>
      <c r="Q600" s="20">
        <f>J600+L600+N600+O600-P600-M600</f>
        <v/>
      </c>
    </row>
    <row r="601">
      <c r="A601" s="19" t="inlineStr">
        <is>
          <t>6.12-6.18</t>
        </is>
      </c>
      <c r="B601" s="19" t="inlineStr">
        <is>
          <t>PO-128-21135728458873972</t>
        </is>
      </c>
      <c r="C601" s="19" t="inlineStr">
        <is>
          <t>Delivered</t>
        </is>
      </c>
      <c r="D601" s="19" t="inlineStr">
        <is>
          <t>128-21135686515833972</t>
        </is>
      </c>
      <c r="E601" s="19" t="inlineStr">
        <is>
          <t>Delivered</t>
        </is>
      </c>
      <c r="F601" s="19" t="inlineStr">
        <is>
          <t>BS-01</t>
        </is>
      </c>
      <c r="G60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1" s="19" t="inlineStr">
        <is>
          <t>BS-01</t>
        </is>
      </c>
      <c r="I601" s="19" t="n">
        <v>1</v>
      </c>
      <c r="J601" s="20" t="n">
        <v>219</v>
      </c>
      <c r="K601" s="20" t="n">
        <v>257.6</v>
      </c>
      <c r="L601" s="20" t="n">
        <v>25.86</v>
      </c>
      <c r="M601" s="20" t="n">
        <v>0</v>
      </c>
      <c r="N601" s="20">
        <f>K601*0.08+L601*0.08</f>
        <v/>
      </c>
      <c r="O601" s="20">
        <f>-(K601*0.025+L601*0.025)</f>
        <v/>
      </c>
      <c r="P601" s="20">
        <f>32</f>
        <v/>
      </c>
      <c r="Q601" s="20">
        <f>J601+L601+N601+O601-P601-M601</f>
        <v/>
      </c>
    </row>
    <row r="602">
      <c r="A602" s="19" t="inlineStr">
        <is>
          <t>6.12-6.18</t>
        </is>
      </c>
      <c r="B602" s="19" t="inlineStr">
        <is>
          <t>PO-128-20660603297910660</t>
        </is>
      </c>
      <c r="C602" s="19" t="inlineStr">
        <is>
          <t>Delivered</t>
        </is>
      </c>
      <c r="D602" s="19" t="inlineStr">
        <is>
          <t>128-20660561354870660</t>
        </is>
      </c>
      <c r="E602" s="19" t="inlineStr">
        <is>
          <t>Delivered</t>
        </is>
      </c>
      <c r="F602" s="19" t="inlineStr">
        <is>
          <t>BS-01</t>
        </is>
      </c>
      <c r="G60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2" s="19" t="inlineStr">
        <is>
          <t>BS-01</t>
        </is>
      </c>
      <c r="I602" s="19" t="n">
        <v>1</v>
      </c>
      <c r="J602" s="20" t="n">
        <v>219</v>
      </c>
      <c r="K602" s="20" t="n">
        <v>257.6</v>
      </c>
      <c r="L602" s="20" t="n">
        <v>25.86</v>
      </c>
      <c r="M602" s="20" t="n">
        <v>0</v>
      </c>
      <c r="N602" s="20">
        <f>K602*0.08+L602*0.08</f>
        <v/>
      </c>
      <c r="O602" s="20">
        <f>-(K602*0.025+L602*0.025)</f>
        <v/>
      </c>
      <c r="P602" s="20">
        <f>32</f>
        <v/>
      </c>
      <c r="Q602" s="20">
        <f>J602+L602+N602+O602-P602-M602</f>
        <v/>
      </c>
    </row>
    <row r="603">
      <c r="A603" s="19" t="inlineStr">
        <is>
          <t>6.12-6.18</t>
        </is>
      </c>
      <c r="B603" s="19" t="inlineStr">
        <is>
          <t>PO-128-20814054963831795</t>
        </is>
      </c>
      <c r="C603" s="19" t="inlineStr">
        <is>
          <t>Delivered</t>
        </is>
      </c>
      <c r="D603" s="19" t="inlineStr">
        <is>
          <t>128-20814013020791795</t>
        </is>
      </c>
      <c r="E603" s="19" t="inlineStr">
        <is>
          <t>Delivered</t>
        </is>
      </c>
      <c r="F603" s="19" t="inlineStr">
        <is>
          <t>BS-09</t>
        </is>
      </c>
      <c r="G603" s="19" t="inlineStr">
        <is>
          <t>Altavoz de barra para PC con iluminación RGB, sonido de alta fidelidad y múltiples conexiones: Bluetooth, radio FM, USB, TF, AUX y TWS. Ideal para juegos, reuniones y cine en casa.</t>
        </is>
      </c>
      <c r="H603" s="19" t="inlineStr">
        <is>
          <t>NEGRO</t>
        </is>
      </c>
      <c r="I603" s="19" t="n">
        <v>2</v>
      </c>
      <c r="J603" s="20" t="n">
        <v>236</v>
      </c>
      <c r="K603" s="20" t="n">
        <v>292.76</v>
      </c>
      <c r="L603" s="20" t="n">
        <v>0</v>
      </c>
      <c r="M603" s="20" t="n">
        <v>0</v>
      </c>
      <c r="N603" s="20">
        <f>K603*0.08+L603*0.08</f>
        <v/>
      </c>
      <c r="O603" s="20">
        <f>-(K603*0.025+L603*0.025)</f>
        <v/>
      </c>
      <c r="P603" s="20">
        <f>32</f>
        <v/>
      </c>
      <c r="Q603" s="20">
        <f>J603+L603+N603+O603-P603-M603</f>
        <v/>
      </c>
    </row>
    <row r="604">
      <c r="A604" s="19" t="inlineStr">
        <is>
          <t>6.12-6.18</t>
        </is>
      </c>
      <c r="B604" s="19" t="inlineStr">
        <is>
          <t>PO-128-20684004332150520</t>
        </is>
      </c>
      <c r="C604" s="19" t="inlineStr">
        <is>
          <t>Delivered</t>
        </is>
      </c>
      <c r="D604" s="19" t="inlineStr">
        <is>
          <t>128-20684046275190520</t>
        </is>
      </c>
      <c r="E604" s="19" t="inlineStr">
        <is>
          <t>Delivered</t>
        </is>
      </c>
      <c r="F604" s="19" t="inlineStr">
        <is>
          <t>BS-07AM</t>
        </is>
      </c>
      <c r="G604" s="19" t="inlineStr">
        <is>
          <t>Altavoz Inalámbrico Portátil con Diseño Retro, Bajos Optimizados y Sonido 3D Envolvente,Compatible con TF/FM/AUX, Conexión BT TWS. Ideal para Home Theater, Fiestas y Regalos​</t>
        </is>
      </c>
      <c r="H604" s="19" t="inlineStr">
        <is>
          <t>BS-07AM</t>
        </is>
      </c>
      <c r="I604" s="19" t="n">
        <v>1</v>
      </c>
      <c r="J604" s="20" t="n">
        <v>130</v>
      </c>
      <c r="K604" s="20" t="n">
        <v>148.68</v>
      </c>
      <c r="L604" s="20" t="n">
        <v>25.86</v>
      </c>
      <c r="M604" s="20" t="n">
        <v>0</v>
      </c>
      <c r="N604" s="20">
        <f>K604*0.08+L604*0.08</f>
        <v/>
      </c>
      <c r="O604" s="20">
        <f>-(K604*0.025+L604*0.025)</f>
        <v/>
      </c>
      <c r="P604" s="20">
        <f>32</f>
        <v/>
      </c>
      <c r="Q604" s="20">
        <f>J604+L604+N604+O604-P604-M604</f>
        <v/>
      </c>
    </row>
    <row r="605">
      <c r="A605" s="19" t="inlineStr">
        <is>
          <t>6.12-6.18</t>
        </is>
      </c>
      <c r="B605" s="19" t="inlineStr">
        <is>
          <t>PO-128-21195288740473811</t>
        </is>
      </c>
      <c r="C605" s="19" t="inlineStr">
        <is>
          <t>Delivered</t>
        </is>
      </c>
      <c r="D605" s="19" t="inlineStr">
        <is>
          <t>128-21195246797433811</t>
        </is>
      </c>
      <c r="E605" s="19" t="inlineStr">
        <is>
          <t>Delivered</t>
        </is>
      </c>
      <c r="F605" s="19" t="inlineStr">
        <is>
          <t>BS-01</t>
        </is>
      </c>
      <c r="G60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5" s="19" t="inlineStr">
        <is>
          <t>BS-01</t>
        </is>
      </c>
      <c r="I605" s="19" t="n">
        <v>1</v>
      </c>
      <c r="J605" s="20" t="n">
        <v>215</v>
      </c>
      <c r="K605" s="20" t="n">
        <v>253.6</v>
      </c>
      <c r="L605" s="20" t="n">
        <v>25.86</v>
      </c>
      <c r="M605" s="20" t="n">
        <v>0</v>
      </c>
      <c r="N605" s="20">
        <f>K605*0.08+L605*0.08</f>
        <v/>
      </c>
      <c r="O605" s="20">
        <f>-(K605*0.025+L605*0.025)</f>
        <v/>
      </c>
      <c r="P605" s="20">
        <f>32</f>
        <v/>
      </c>
      <c r="Q605" s="20">
        <f>J605+L605+N605+O605-P605-M605</f>
        <v/>
      </c>
    </row>
    <row r="606">
      <c r="A606" s="19" t="inlineStr">
        <is>
          <t>6.12-6.18</t>
        </is>
      </c>
      <c r="B606" s="19" t="inlineStr">
        <is>
          <t>PO-128-20887548344951485</t>
        </is>
      </c>
      <c r="C606" s="19" t="inlineStr">
        <is>
          <t>Delivered</t>
        </is>
      </c>
      <c r="D606" s="19" t="inlineStr">
        <is>
          <t>128-20887590287991485</t>
        </is>
      </c>
      <c r="E606" s="19" t="inlineStr">
        <is>
          <t>Delivered</t>
        </is>
      </c>
      <c r="F606" s="19" t="inlineStr">
        <is>
          <t>BS-01</t>
        </is>
      </c>
      <c r="G60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6" s="19" t="inlineStr">
        <is>
          <t>BS-01</t>
        </is>
      </c>
      <c r="I606" s="19" t="n">
        <v>1</v>
      </c>
      <c r="J606" s="20" t="n">
        <v>215</v>
      </c>
      <c r="K606" s="20" t="n">
        <v>253.6</v>
      </c>
      <c r="L606" s="20" t="n">
        <v>0</v>
      </c>
      <c r="M606" s="20" t="n">
        <v>0</v>
      </c>
      <c r="N606" s="20">
        <f>K606*0.08+L606*0.08</f>
        <v/>
      </c>
      <c r="O606" s="20">
        <f>-(K606*0.025+L606*0.025)</f>
        <v/>
      </c>
      <c r="P606" s="20">
        <f>32</f>
        <v/>
      </c>
      <c r="Q606" s="20">
        <f>J606+L606+N606+O606-P606-M606</f>
        <v/>
      </c>
    </row>
    <row r="607">
      <c r="A607" s="19" t="inlineStr">
        <is>
          <t>6.12-6.18</t>
        </is>
      </c>
      <c r="B607" s="19" t="inlineStr">
        <is>
          <t>PO-128-20887548344951485</t>
        </is>
      </c>
      <c r="C607" s="19" t="inlineStr">
        <is>
          <t>Delivered</t>
        </is>
      </c>
      <c r="D607" s="19" t="inlineStr">
        <is>
          <t>128-20887611259511485</t>
        </is>
      </c>
      <c r="E607" s="19" t="inlineStr">
        <is>
          <t>Delivered</t>
        </is>
      </c>
      <c r="F607" s="19" t="inlineStr">
        <is>
          <t>BS-07V</t>
        </is>
      </c>
      <c r="G607" s="19" t="inlineStr">
        <is>
          <t>Altavoz Inalámbrico Portátil con Diseño Retro, Bajos Optimizados y Sonido 3D Envolvente,Compatible con TF/FM/AUX, Conexión BT TWS. Ideal para Home Theater, Fiestas y Regalos​</t>
        </is>
      </c>
      <c r="H607" s="19" t="inlineStr">
        <is>
          <t>BS-07V</t>
        </is>
      </c>
      <c r="I607" s="19" t="n">
        <v>1</v>
      </c>
      <c r="J607" s="20" t="n">
        <v>130</v>
      </c>
      <c r="K607" s="20" t="n">
        <v>148.68</v>
      </c>
      <c r="L607" s="20" t="n">
        <v>0</v>
      </c>
      <c r="M607" s="20" t="n">
        <v>0</v>
      </c>
      <c r="N607" s="20">
        <f>K607*0.08+L607*0.08</f>
        <v/>
      </c>
      <c r="O607" s="20">
        <f>-(K607*0.025+L607*0.025)</f>
        <v/>
      </c>
      <c r="P607" s="20">
        <f>32</f>
        <v/>
      </c>
      <c r="Q607" s="20">
        <f>J607+L607+N607+O607-P607-M607</f>
        <v/>
      </c>
    </row>
    <row r="608">
      <c r="A608" s="19" t="inlineStr">
        <is>
          <t>6.12-6.18</t>
        </is>
      </c>
      <c r="B608" s="19" t="inlineStr">
        <is>
          <t>PO-128-21283502899833093</t>
        </is>
      </c>
      <c r="C608" s="19" t="inlineStr">
        <is>
          <t>Delivered</t>
        </is>
      </c>
      <c r="D608" s="19" t="inlineStr">
        <is>
          <t>128-21283555328633093</t>
        </is>
      </c>
      <c r="E608" s="19" t="inlineStr">
        <is>
          <t>Delivered</t>
        </is>
      </c>
      <c r="F608" s="19" t="inlineStr">
        <is>
          <t>BS-01</t>
        </is>
      </c>
      <c r="G60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8" s="19" t="inlineStr">
        <is>
          <t>BS-01</t>
        </is>
      </c>
      <c r="I608" s="19" t="n">
        <v>1</v>
      </c>
      <c r="J608" s="20" t="n">
        <v>215</v>
      </c>
      <c r="K608" s="20" t="n">
        <v>253.6</v>
      </c>
      <c r="L608" s="20" t="n">
        <v>25.86</v>
      </c>
      <c r="M608" s="20" t="n">
        <v>0</v>
      </c>
      <c r="N608" s="20">
        <f>K608*0.08+L608*0.08</f>
        <v/>
      </c>
      <c r="O608" s="20">
        <f>-(K608*0.025+L608*0.025)</f>
        <v/>
      </c>
      <c r="P608" s="20">
        <f>32</f>
        <v/>
      </c>
      <c r="Q608" s="20">
        <f>J608+L608+N608+O608-P608-M608</f>
        <v/>
      </c>
    </row>
    <row r="609">
      <c r="A609" s="19" t="inlineStr">
        <is>
          <t>6.12-6.18</t>
        </is>
      </c>
      <c r="B609" s="19" t="inlineStr">
        <is>
          <t>PO-128-21117682954872097</t>
        </is>
      </c>
      <c r="C609" s="19" t="inlineStr">
        <is>
          <t>Delivered</t>
        </is>
      </c>
      <c r="D609" s="19" t="inlineStr">
        <is>
          <t>128-21117787812472097</t>
        </is>
      </c>
      <c r="E609" s="19" t="inlineStr">
        <is>
          <t>Delivered</t>
        </is>
      </c>
      <c r="F609" s="19" t="inlineStr">
        <is>
          <t>BS-01</t>
        </is>
      </c>
      <c r="G60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09" s="19" t="inlineStr">
        <is>
          <t>BS-01</t>
        </is>
      </c>
      <c r="I609" s="19" t="n">
        <v>1</v>
      </c>
      <c r="J609" s="20" t="n">
        <v>215</v>
      </c>
      <c r="K609" s="20" t="n">
        <v>253.6</v>
      </c>
      <c r="L609" s="20" t="n">
        <v>25.86</v>
      </c>
      <c r="M609" s="20" t="n">
        <v>0</v>
      </c>
      <c r="N609" s="20">
        <f>K609*0.08+L609*0.08</f>
        <v/>
      </c>
      <c r="O609" s="20">
        <f>-(K609*0.025+L609*0.025)</f>
        <v/>
      </c>
      <c r="P609" s="20">
        <f>32</f>
        <v/>
      </c>
      <c r="Q609" s="20">
        <f>J609+L609+N609+O609-P609-M609</f>
        <v/>
      </c>
    </row>
    <row r="610">
      <c r="A610" s="19" t="inlineStr">
        <is>
          <t>6.12-6.18</t>
        </is>
      </c>
      <c r="B610" s="19" t="inlineStr">
        <is>
          <t>PO-128-21280396288633303</t>
        </is>
      </c>
      <c r="C610" s="19" t="inlineStr">
        <is>
          <t>Delivered</t>
        </is>
      </c>
      <c r="D610" s="19" t="inlineStr">
        <is>
          <t>128-21280412017273303</t>
        </is>
      </c>
      <c r="E610" s="19" t="inlineStr">
        <is>
          <t>Delivered</t>
        </is>
      </c>
      <c r="F610" s="19" t="inlineStr">
        <is>
          <t>BS-01</t>
        </is>
      </c>
      <c r="G61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0" s="19" t="inlineStr">
        <is>
          <t>BS-01</t>
        </is>
      </c>
      <c r="I610" s="19" t="n">
        <v>1</v>
      </c>
      <c r="J610" s="20" t="n">
        <v>215</v>
      </c>
      <c r="K610" s="20" t="n">
        <v>253.6</v>
      </c>
      <c r="L610" s="20" t="n">
        <v>25.86</v>
      </c>
      <c r="M610" s="20" t="n">
        <v>0</v>
      </c>
      <c r="N610" s="20">
        <f>K610*0.08+L610*0.08</f>
        <v/>
      </c>
      <c r="O610" s="20">
        <f>-(K610*0.025+L610*0.025)</f>
        <v/>
      </c>
      <c r="P610" s="20">
        <f>32</f>
        <v/>
      </c>
      <c r="Q610" s="20">
        <f>J610+L610+N610+O610-P610-M610</f>
        <v/>
      </c>
    </row>
    <row r="611">
      <c r="A611" s="19" t="inlineStr">
        <is>
          <t>6.12-6.18</t>
        </is>
      </c>
      <c r="B611" s="19" t="inlineStr">
        <is>
          <t>PO-128-09854334584951774</t>
        </is>
      </c>
      <c r="C611" s="19" t="inlineStr">
        <is>
          <t>Delivered</t>
        </is>
      </c>
      <c r="D611" s="19" t="inlineStr">
        <is>
          <t>128-09854313613431774</t>
        </is>
      </c>
      <c r="E611" s="19" t="inlineStr">
        <is>
          <t>Delivered</t>
        </is>
      </c>
      <c r="F611" s="19" t="inlineStr">
        <is>
          <t>BS-01</t>
        </is>
      </c>
      <c r="G61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1" s="19" t="inlineStr">
        <is>
          <t>BS-01</t>
        </is>
      </c>
      <c r="I611" s="19" t="n">
        <v>1</v>
      </c>
      <c r="J611" s="20" t="n">
        <v>215</v>
      </c>
      <c r="K611" s="20" t="n">
        <v>253.6</v>
      </c>
      <c r="L611" s="20" t="n">
        <v>25.86</v>
      </c>
      <c r="M611" s="20" t="n">
        <v>0</v>
      </c>
      <c r="N611" s="20">
        <f>K611*0.08+L611*0.08</f>
        <v/>
      </c>
      <c r="O611" s="20">
        <f>-(K611*0.025+L611*0.025)</f>
        <v/>
      </c>
      <c r="P611" s="20">
        <f>32</f>
        <v/>
      </c>
      <c r="Q611" s="20">
        <f>J611+L611+N611+O611-P611-M611</f>
        <v/>
      </c>
    </row>
    <row r="612">
      <c r="A612" s="19" t="inlineStr">
        <is>
          <t>6.12-6.18</t>
        </is>
      </c>
      <c r="B612" s="19" t="inlineStr">
        <is>
          <t>PO-128-09708187169910407</t>
        </is>
      </c>
      <c r="C612" s="19" t="inlineStr">
        <is>
          <t>Delivered</t>
        </is>
      </c>
      <c r="D612" s="19" t="inlineStr">
        <is>
          <t>128-09708229112950407</t>
        </is>
      </c>
      <c r="E612" s="19" t="inlineStr">
        <is>
          <t>Delivered</t>
        </is>
      </c>
      <c r="F612" s="19" t="inlineStr">
        <is>
          <t>BS-01</t>
        </is>
      </c>
      <c r="G61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2" s="19" t="inlineStr">
        <is>
          <t>BS-01</t>
        </is>
      </c>
      <c r="I612" s="19" t="n">
        <v>1</v>
      </c>
      <c r="J612" s="20" t="n">
        <v>215</v>
      </c>
      <c r="K612" s="20" t="n">
        <v>253.6</v>
      </c>
      <c r="L612" s="20" t="n">
        <v>25.86</v>
      </c>
      <c r="M612" s="20" t="n">
        <v>0</v>
      </c>
      <c r="N612" s="20">
        <f>K612*0.08+L612*0.08</f>
        <v/>
      </c>
      <c r="O612" s="20">
        <f>-(K612*0.025+L612*0.025)</f>
        <v/>
      </c>
      <c r="P612" s="20">
        <f>32</f>
        <v/>
      </c>
      <c r="Q612" s="20">
        <f>J612+L612+N612+O612-P612-M612</f>
        <v/>
      </c>
    </row>
    <row r="613">
      <c r="A613" s="19" t="inlineStr">
        <is>
          <t>6.12-6.18</t>
        </is>
      </c>
      <c r="B613" s="19" t="inlineStr">
        <is>
          <t>PO-128-09815795617911812</t>
        </is>
      </c>
      <c r="C613" s="19" t="inlineStr">
        <is>
          <t>Delivered</t>
        </is>
      </c>
      <c r="D613" s="19" t="inlineStr">
        <is>
          <t>128-09815785132151812</t>
        </is>
      </c>
      <c r="E613" s="19" t="inlineStr">
        <is>
          <t>Delivered</t>
        </is>
      </c>
      <c r="F613" s="19" t="inlineStr">
        <is>
          <t>BS-01</t>
        </is>
      </c>
      <c r="G61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3" s="19" t="inlineStr">
        <is>
          <t>BS-01</t>
        </is>
      </c>
      <c r="I613" s="19" t="n">
        <v>1</v>
      </c>
      <c r="J613" s="20" t="n">
        <v>215</v>
      </c>
      <c r="K613" s="20" t="n">
        <v>253.6</v>
      </c>
      <c r="L613" s="20" t="n">
        <v>25.86</v>
      </c>
      <c r="M613" s="20" t="n">
        <v>0</v>
      </c>
      <c r="N613" s="20">
        <f>K613*0.08+L613*0.08</f>
        <v/>
      </c>
      <c r="O613" s="20">
        <f>-(K613*0.025+L613*0.025)</f>
        <v/>
      </c>
      <c r="P613" s="20">
        <f>32</f>
        <v/>
      </c>
      <c r="Q613" s="20">
        <f>J613+L613+N613+O613-P613-M613</f>
        <v/>
      </c>
    </row>
    <row r="614">
      <c r="A614" s="19" t="inlineStr">
        <is>
          <t>6.12-6.18</t>
        </is>
      </c>
      <c r="B614" s="19" t="inlineStr">
        <is>
          <t>PO-128-09790635036790106</t>
        </is>
      </c>
      <c r="C614" s="19" t="inlineStr">
        <is>
          <t>Delivered</t>
        </is>
      </c>
      <c r="D614" s="19" t="inlineStr">
        <is>
          <t>128-09790656008310106</t>
        </is>
      </c>
      <c r="E614" s="19" t="inlineStr">
        <is>
          <t>Delivered</t>
        </is>
      </c>
      <c r="F614" s="19" t="inlineStr">
        <is>
          <t>BS-01</t>
        </is>
      </c>
      <c r="G61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4" s="19" t="inlineStr">
        <is>
          <t>BS-01</t>
        </is>
      </c>
      <c r="I614" s="19" t="n">
        <v>1</v>
      </c>
      <c r="J614" s="20" t="n">
        <v>215</v>
      </c>
      <c r="K614" s="20" t="n">
        <v>253.6</v>
      </c>
      <c r="L614" s="20" t="n">
        <v>25.86</v>
      </c>
      <c r="M614" s="20" t="n">
        <v>0</v>
      </c>
      <c r="N614" s="20">
        <f>K614*0.08+L614*0.08</f>
        <v/>
      </c>
      <c r="O614" s="20">
        <f>-(K614*0.025+L614*0.025)</f>
        <v/>
      </c>
      <c r="P614" s="20">
        <f>32</f>
        <v/>
      </c>
      <c r="Q614" s="20">
        <f>J614+L614+N614+O614-P614-M614</f>
        <v/>
      </c>
    </row>
    <row r="615">
      <c r="A615" s="19" t="inlineStr">
        <is>
          <t>6.12-6.18</t>
        </is>
      </c>
      <c r="B615" s="19" t="inlineStr">
        <is>
          <t>PO-128-10072040553592332</t>
        </is>
      </c>
      <c r="C615" s="19" t="inlineStr">
        <is>
          <t>Delivered</t>
        </is>
      </c>
      <c r="D615" s="19" t="inlineStr">
        <is>
          <t>128-10072087739512332</t>
        </is>
      </c>
      <c r="E615" s="19" t="inlineStr">
        <is>
          <t>Delivered</t>
        </is>
      </c>
      <c r="F615" s="19" t="inlineStr">
        <is>
          <t>BS-09</t>
        </is>
      </c>
      <c r="G615" s="19" t="inlineStr">
        <is>
          <t>Altavoz de barra para PC con iluminación RGB, sonido de alta fidelidad y múltiples conexiones: Bluetooth, radio FM, USB, TF, AUX y TWS. Ideal para juegos, reuniones y cine en casa.</t>
        </is>
      </c>
      <c r="H615" s="19" t="inlineStr">
        <is>
          <t>NEGRO</t>
        </is>
      </c>
      <c r="I615" s="19" t="n">
        <v>1</v>
      </c>
      <c r="J615" s="20" t="n">
        <v>116</v>
      </c>
      <c r="K615" s="20" t="n">
        <v>144.38</v>
      </c>
      <c r="L615" s="20" t="n">
        <v>25.86</v>
      </c>
      <c r="M615" s="20" t="n">
        <v>0</v>
      </c>
      <c r="N615" s="20">
        <f>K615*0.08+L615*0.08</f>
        <v/>
      </c>
      <c r="O615" s="20">
        <f>-(K615*0.025+L615*0.025)</f>
        <v/>
      </c>
      <c r="P615" s="20">
        <f>32</f>
        <v/>
      </c>
      <c r="Q615" s="20">
        <f>J615+L615+N615+O615-P615-M615</f>
        <v/>
      </c>
    </row>
    <row r="616">
      <c r="A616" s="19" t="inlineStr">
        <is>
          <t>6.12-6.18</t>
        </is>
      </c>
      <c r="B616" s="19" t="inlineStr">
        <is>
          <t>PO-128-09762101084790212</t>
        </is>
      </c>
      <c r="C616" s="19" t="inlineStr">
        <is>
          <t>Delivered</t>
        </is>
      </c>
      <c r="D616" s="19" t="inlineStr">
        <is>
          <t>128-09762122056310212</t>
        </is>
      </c>
      <c r="E616" s="19" t="inlineStr">
        <is>
          <t>Delivered</t>
        </is>
      </c>
      <c r="F616" s="19" t="inlineStr">
        <is>
          <t>BS-01</t>
        </is>
      </c>
      <c r="G61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6" s="19" t="inlineStr">
        <is>
          <t>BS-01</t>
        </is>
      </c>
      <c r="I616" s="19" t="n">
        <v>1</v>
      </c>
      <c r="J616" s="20" t="n">
        <v>215</v>
      </c>
      <c r="K616" s="20" t="n">
        <v>253.6</v>
      </c>
      <c r="L616" s="20" t="n">
        <v>25.86</v>
      </c>
      <c r="M616" s="20" t="n">
        <v>0</v>
      </c>
      <c r="N616" s="20">
        <f>K616*0.08+L616*0.08</f>
        <v/>
      </c>
      <c r="O616" s="20">
        <f>-(K616*0.025+L616*0.025)</f>
        <v/>
      </c>
      <c r="P616" s="20">
        <f>32</f>
        <v/>
      </c>
      <c r="Q616" s="20">
        <f>J616+L616+N616+O616-P616-M616</f>
        <v/>
      </c>
    </row>
    <row r="617">
      <c r="A617" s="19" t="inlineStr">
        <is>
          <t>6.12-6.18</t>
        </is>
      </c>
      <c r="B617" s="19" t="inlineStr">
        <is>
          <t>PO-128-09807037368951992</t>
        </is>
      </c>
      <c r="C617" s="19" t="inlineStr">
        <is>
          <t>Delivered</t>
        </is>
      </c>
      <c r="D617" s="19" t="inlineStr">
        <is>
          <t>128-09806995425911992</t>
        </is>
      </c>
      <c r="E617" s="19" t="inlineStr">
        <is>
          <t>Delivered</t>
        </is>
      </c>
      <c r="F617" s="19" t="inlineStr">
        <is>
          <t>BS-01</t>
        </is>
      </c>
      <c r="G61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7" s="19" t="inlineStr">
        <is>
          <t>BS-01</t>
        </is>
      </c>
      <c r="I617" s="19" t="n">
        <v>1</v>
      </c>
      <c r="J617" s="20" t="n">
        <v>215</v>
      </c>
      <c r="K617" s="20" t="n">
        <v>253.6</v>
      </c>
      <c r="L617" s="20" t="n">
        <v>25.86</v>
      </c>
      <c r="M617" s="20" t="n">
        <v>0</v>
      </c>
      <c r="N617" s="20">
        <f>K617*0.08+L617*0.08</f>
        <v/>
      </c>
      <c r="O617" s="20">
        <f>-(K617*0.025+L617*0.025)</f>
        <v/>
      </c>
      <c r="P617" s="20">
        <f>32</f>
        <v/>
      </c>
      <c r="Q617" s="20">
        <f>J617+L617+N617+O617-P617-M617</f>
        <v/>
      </c>
    </row>
    <row r="618">
      <c r="A618" s="19" t="inlineStr">
        <is>
          <t>6.12-6.18</t>
        </is>
      </c>
      <c r="B618" s="19" t="inlineStr">
        <is>
          <t>PO-128-10014370929272740</t>
        </is>
      </c>
      <c r="C618" s="19" t="inlineStr">
        <is>
          <t>Delivered</t>
        </is>
      </c>
      <c r="D618" s="19" t="inlineStr">
        <is>
          <t>128-10014412872312740</t>
        </is>
      </c>
      <c r="E618" s="19" t="inlineStr">
        <is>
          <t>Delivered</t>
        </is>
      </c>
      <c r="F618" s="19" t="inlineStr">
        <is>
          <t>BS-01</t>
        </is>
      </c>
      <c r="G61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8" s="19" t="inlineStr">
        <is>
          <t>BS-01</t>
        </is>
      </c>
      <c r="I618" s="19" t="n">
        <v>1</v>
      </c>
      <c r="J618" s="20" t="n">
        <v>215</v>
      </c>
      <c r="K618" s="20" t="n">
        <v>253.6</v>
      </c>
      <c r="L618" s="20" t="n">
        <v>25.86</v>
      </c>
      <c r="M618" s="20" t="n">
        <v>0</v>
      </c>
      <c r="N618" s="20">
        <f>K618*0.08+L618*0.08</f>
        <v/>
      </c>
      <c r="O618" s="20">
        <f>-(K618*0.025+L618*0.025)</f>
        <v/>
      </c>
      <c r="P618" s="20">
        <f>32</f>
        <v/>
      </c>
      <c r="Q618" s="20">
        <f>J618+L618+N618+O618-P618-M618</f>
        <v/>
      </c>
    </row>
    <row r="619">
      <c r="A619" s="19" t="inlineStr">
        <is>
          <t>6.12-6.18</t>
        </is>
      </c>
      <c r="B619" s="19" t="inlineStr">
        <is>
          <t>PO-128-09666192835190656</t>
        </is>
      </c>
      <c r="C619" s="19" t="inlineStr">
        <is>
          <t>Delivered</t>
        </is>
      </c>
      <c r="D619" s="19" t="inlineStr">
        <is>
          <t>128-09666150892150656</t>
        </is>
      </c>
      <c r="E619" s="19" t="inlineStr">
        <is>
          <t>Delivered</t>
        </is>
      </c>
      <c r="F619" s="19" t="inlineStr">
        <is>
          <t>BS-01</t>
        </is>
      </c>
      <c r="G61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9" s="19" t="inlineStr">
        <is>
          <t>BS-01</t>
        </is>
      </c>
      <c r="I619" s="19" t="n">
        <v>1</v>
      </c>
      <c r="J619" s="20" t="n">
        <v>215</v>
      </c>
      <c r="K619" s="20" t="n">
        <v>253.6</v>
      </c>
      <c r="L619" s="20" t="n">
        <v>25.86</v>
      </c>
      <c r="M619" s="20" t="n">
        <v>0</v>
      </c>
      <c r="N619" s="20">
        <f>K619*0.08+L619*0.08</f>
        <v/>
      </c>
      <c r="O619" s="20">
        <f>-(K619*0.025+L619*0.025)</f>
        <v/>
      </c>
      <c r="P619" s="20">
        <f>32</f>
        <v/>
      </c>
      <c r="Q619" s="20">
        <f>J619+L619+N619+O619-P619-M619</f>
        <v/>
      </c>
    </row>
    <row r="620">
      <c r="A620" s="19" t="inlineStr">
        <is>
          <t>6.12-6.18</t>
        </is>
      </c>
      <c r="B620" s="19" t="inlineStr">
        <is>
          <t>PO-128-09853545278071781</t>
        </is>
      </c>
      <c r="C620" s="19" t="inlineStr">
        <is>
          <t>Delivered</t>
        </is>
      </c>
      <c r="D620" s="19" t="inlineStr">
        <is>
          <t>128-09853566249591781</t>
        </is>
      </c>
      <c r="E620" s="19" t="inlineStr">
        <is>
          <t>Delivered</t>
        </is>
      </c>
      <c r="F620" s="19" t="inlineStr">
        <is>
          <t>BS-01</t>
        </is>
      </c>
      <c r="G62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20" s="19" t="inlineStr">
        <is>
          <t>BS-01</t>
        </is>
      </c>
      <c r="I620" s="19" t="n">
        <v>1</v>
      </c>
      <c r="J620" s="20" t="n">
        <v>215</v>
      </c>
      <c r="K620" s="20" t="n">
        <v>253.6</v>
      </c>
      <c r="L620" s="20" t="n">
        <v>25.86</v>
      </c>
      <c r="M620" s="20" t="n">
        <v>0</v>
      </c>
      <c r="N620" s="20">
        <f>K620*0.08+L620*0.08</f>
        <v/>
      </c>
      <c r="O620" s="20">
        <f>-(K620*0.025+L620*0.025)</f>
        <v/>
      </c>
      <c r="P620" s="20">
        <f>32</f>
        <v/>
      </c>
      <c r="Q620" s="20">
        <f>J620+L620+N620+O620-P620-M620</f>
        <v/>
      </c>
    </row>
    <row r="621">
      <c r="A621" s="19" t="inlineStr">
        <is>
          <t>6.12-6.18</t>
        </is>
      </c>
      <c r="B621" s="19" t="inlineStr">
        <is>
          <t>PO-128-09915113697911348</t>
        </is>
      </c>
      <c r="C621" s="19" t="inlineStr">
        <is>
          <t>Delivered</t>
        </is>
      </c>
      <c r="D621" s="19" t="inlineStr">
        <is>
          <t>128-09915160883831348</t>
        </is>
      </c>
      <c r="E621" s="19" t="inlineStr">
        <is>
          <t>Delivered</t>
        </is>
      </c>
      <c r="F621" s="19" t="inlineStr">
        <is>
          <t>BS-01</t>
        </is>
      </c>
      <c r="G62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21" s="19" t="inlineStr">
        <is>
          <t>BS-01</t>
        </is>
      </c>
      <c r="I621" s="19" t="n">
        <v>1</v>
      </c>
      <c r="J621" s="20" t="n">
        <v>215</v>
      </c>
      <c r="K621" s="20" t="n">
        <v>253.6</v>
      </c>
      <c r="L621" s="20" t="n">
        <v>25.86</v>
      </c>
      <c r="M621" s="20" t="n">
        <v>0</v>
      </c>
      <c r="N621" s="20">
        <f>K621*0.08+L621*0.08</f>
        <v/>
      </c>
      <c r="O621" s="20">
        <f>-(K621*0.025+L621*0.025)</f>
        <v/>
      </c>
      <c r="P621" s="20">
        <f>32</f>
        <v/>
      </c>
      <c r="Q621" s="20">
        <f>J621+L621+N621+O621-P621-M621</f>
        <v/>
      </c>
    </row>
    <row r="622">
      <c r="A622" s="19" t="inlineStr">
        <is>
          <t>6.12-6.18</t>
        </is>
      </c>
      <c r="B622" s="19" t="inlineStr">
        <is>
          <t>PO-128-15407926456951312</t>
        </is>
      </c>
      <c r="C622" s="19" t="inlineStr">
        <is>
          <t>Delivered</t>
        </is>
      </c>
      <c r="D622" s="19" t="inlineStr">
        <is>
          <t>128-15407905485431312</t>
        </is>
      </c>
      <c r="E622" s="19" t="inlineStr">
        <is>
          <t>Delivered</t>
        </is>
      </c>
      <c r="F622" s="19" t="inlineStr">
        <is>
          <t>BS-09</t>
        </is>
      </c>
      <c r="G622" s="19" t="inlineStr">
        <is>
          <t>Altavoz de barra para PC con iluminación RGB, sonido de alta fidelidad y múltiples conexiones: Bluetooth, radio FM, USB, TF, AUX y TWS. Ideal para juegos, reuniones y cine en casa.</t>
        </is>
      </c>
      <c r="H622" s="19" t="inlineStr">
        <is>
          <t>NEGRO</t>
        </is>
      </c>
      <c r="I622" s="19" t="n">
        <v>1</v>
      </c>
      <c r="J622" s="20" t="n">
        <v>116</v>
      </c>
      <c r="K622" s="20" t="n">
        <v>144.38</v>
      </c>
      <c r="L622" s="20" t="n">
        <v>25.86</v>
      </c>
      <c r="M622" s="20" t="n">
        <v>0</v>
      </c>
      <c r="N622" s="20">
        <f>K622*0.08+L622*0.08</f>
        <v/>
      </c>
      <c r="O622" s="20">
        <f>-(K622*0.025+L622*0.025)</f>
        <v/>
      </c>
      <c r="P622" s="20">
        <f>32</f>
        <v/>
      </c>
      <c r="Q622" s="20">
        <f>J622+L622+N622+O622-P622-M622</f>
        <v/>
      </c>
    </row>
    <row r="623">
      <c r="A623" s="19" t="inlineStr">
        <is>
          <t>6.12-6.18</t>
        </is>
      </c>
      <c r="B623" s="19" t="inlineStr">
        <is>
          <t>PO-128-15310745621112021</t>
        </is>
      </c>
      <c r="C623" s="19" t="inlineStr">
        <is>
          <t>Delivered</t>
        </is>
      </c>
      <c r="D623" s="19" t="inlineStr">
        <is>
          <t>128-15310758728312021</t>
        </is>
      </c>
      <c r="E623" s="19" t="inlineStr">
        <is>
          <t>Delivered</t>
        </is>
      </c>
      <c r="F623" s="19" t="inlineStr">
        <is>
          <t>BS-09</t>
        </is>
      </c>
      <c r="G623" s="19" t="inlineStr">
        <is>
          <t>Altavoz de barra para PC con iluminación RGB, sonido de alta fidelidad y múltiples conexiones: Bluetooth, radio FM, USB, TF, AUX y TWS. Ideal para juegos, reuniones y cine en casa.</t>
        </is>
      </c>
      <c r="H623" s="19" t="inlineStr">
        <is>
          <t>NEGRO</t>
        </is>
      </c>
      <c r="I623" s="19" t="n">
        <v>1</v>
      </c>
      <c r="J623" s="20" t="n">
        <v>116</v>
      </c>
      <c r="K623" s="20" t="n">
        <v>144.38</v>
      </c>
      <c r="L623" s="20" t="n">
        <v>25.86</v>
      </c>
      <c r="M623" s="20" t="n">
        <v>0</v>
      </c>
      <c r="N623" s="20">
        <f>K623*0.08+L623*0.08</f>
        <v/>
      </c>
      <c r="O623" s="20">
        <f>-(K623*0.025+L623*0.025)</f>
        <v/>
      </c>
      <c r="P623" s="20">
        <f>32</f>
        <v/>
      </c>
      <c r="Q623" s="20">
        <f>J623+L623+N623+O623-P623-M623</f>
        <v/>
      </c>
    </row>
    <row r="624">
      <c r="A624" s="19" t="inlineStr">
        <is>
          <t>6.12-6.18</t>
        </is>
      </c>
      <c r="B624" s="19" t="inlineStr">
        <is>
          <t>PO-128-15119759422070918</t>
        </is>
      </c>
      <c r="C624" s="19" t="inlineStr">
        <is>
          <t>Delivered</t>
        </is>
      </c>
      <c r="D624" s="19" t="inlineStr">
        <is>
          <t>128-15119717479030918</t>
        </is>
      </c>
      <c r="E624" s="19" t="inlineStr">
        <is>
          <t>Delivered</t>
        </is>
      </c>
      <c r="F624" s="19" t="inlineStr">
        <is>
          <t>BS-01</t>
        </is>
      </c>
      <c r="G62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24" s="19" t="inlineStr">
        <is>
          <t>BS-01</t>
        </is>
      </c>
      <c r="I624" s="19" t="n">
        <v>1</v>
      </c>
      <c r="J624" s="20" t="n">
        <v>215</v>
      </c>
      <c r="K624" s="20" t="n">
        <v>228.25</v>
      </c>
      <c r="L624" s="20" t="n">
        <v>25.86</v>
      </c>
      <c r="M624" s="20" t="n">
        <v>0</v>
      </c>
      <c r="N624" s="20">
        <f>K624*0.08+L624*0.08</f>
        <v/>
      </c>
      <c r="O624" s="20">
        <f>-(K624*0.025+L624*0.025)</f>
        <v/>
      </c>
      <c r="P624" s="20">
        <f>32</f>
        <v/>
      </c>
      <c r="Q624" s="20">
        <f>J624+L624+N624+O624-P624-M624</f>
        <v/>
      </c>
    </row>
    <row r="625">
      <c r="A625" s="19" t="inlineStr">
        <is>
          <t>6.12-6.18</t>
        </is>
      </c>
      <c r="B625" s="19" t="inlineStr">
        <is>
          <t>PO-128-15334552873591687</t>
        </is>
      </c>
      <c r="C625" s="19" t="inlineStr">
        <is>
          <t>Delivered</t>
        </is>
      </c>
      <c r="D625" s="19" t="inlineStr">
        <is>
          <t>128-15334579087991687</t>
        </is>
      </c>
      <c r="E625" s="19" t="inlineStr">
        <is>
          <t>Delivered</t>
        </is>
      </c>
      <c r="F625" s="19" t="inlineStr">
        <is>
          <t>BS-09</t>
        </is>
      </c>
      <c r="G625" s="19" t="inlineStr">
        <is>
          <t>Altavoz de barra para PC con iluminación RGB, sonido de alta fidelidad y múltiples conexiones: Bluetooth, radio FM, USB, TF, AUX y TWS. Ideal para juegos, reuniones y cine en casa.</t>
        </is>
      </c>
      <c r="H625" s="19" t="inlineStr">
        <is>
          <t>NEGRO</t>
        </is>
      </c>
      <c r="I625" s="19" t="n">
        <v>1</v>
      </c>
      <c r="J625" s="20" t="n">
        <v>116</v>
      </c>
      <c r="K625" s="20" t="n">
        <v>144.38</v>
      </c>
      <c r="L625" s="20" t="n">
        <v>25.86</v>
      </c>
      <c r="M625" s="20" t="n">
        <v>0</v>
      </c>
      <c r="N625" s="20">
        <f>K625*0.08+L625*0.08</f>
        <v/>
      </c>
      <c r="O625" s="20">
        <f>-(K625*0.025+L625*0.025)</f>
        <v/>
      </c>
      <c r="P625" s="20">
        <f>32</f>
        <v/>
      </c>
      <c r="Q625" s="20">
        <f>J625+L625+N625+O625-P625-M625</f>
        <v/>
      </c>
    </row>
    <row r="626">
      <c r="A626" s="19" t="inlineStr">
        <is>
          <t>6.12-6.18</t>
        </is>
      </c>
      <c r="B626" s="19" t="inlineStr">
        <is>
          <t>PO-128-15435182561911278</t>
        </is>
      </c>
      <c r="C626" s="19" t="inlineStr">
        <is>
          <t>Delivered</t>
        </is>
      </c>
      <c r="D626" s="19" t="inlineStr">
        <is>
          <t>128-15435140618871278</t>
        </is>
      </c>
      <c r="E626" s="19" t="inlineStr">
        <is>
          <t>Delivered</t>
        </is>
      </c>
      <c r="F626" s="19" t="inlineStr">
        <is>
          <t>BS-01</t>
        </is>
      </c>
      <c r="G62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26" s="19" t="inlineStr">
        <is>
          <t>BS-01</t>
        </is>
      </c>
      <c r="I626" s="19" t="n">
        <v>1</v>
      </c>
      <c r="J626" s="20" t="n">
        <v>215</v>
      </c>
      <c r="K626" s="20" t="n">
        <v>253.6</v>
      </c>
      <c r="L626" s="20" t="n">
        <v>25.86</v>
      </c>
      <c r="M626" s="20" t="n">
        <v>0</v>
      </c>
      <c r="N626" s="20">
        <f>K626*0.08+L626*0.08</f>
        <v/>
      </c>
      <c r="O626" s="20">
        <f>-(K626*0.025+L626*0.025)</f>
        <v/>
      </c>
      <c r="P626" s="20">
        <f>32</f>
        <v/>
      </c>
      <c r="Q626" s="20">
        <f>J626+L626+N626+O626-P626-M626</f>
        <v/>
      </c>
    </row>
    <row r="627">
      <c r="A627" s="19" t="inlineStr">
        <is>
          <t>6.12-6.18</t>
        </is>
      </c>
      <c r="B627" s="19" t="inlineStr">
        <is>
          <t>PO-128-15581558723192391</t>
        </is>
      </c>
      <c r="C627" s="19" t="inlineStr">
        <is>
          <t>Delivered</t>
        </is>
      </c>
      <c r="D627" s="19" t="inlineStr">
        <is>
          <t>128-15581600666232391</t>
        </is>
      </c>
      <c r="E627" s="19" t="inlineStr">
        <is>
          <t>Delivered</t>
        </is>
      </c>
      <c r="F627" s="19" t="inlineStr">
        <is>
          <t>BS-01</t>
        </is>
      </c>
      <c r="G62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27" s="19" t="inlineStr">
        <is>
          <t>BS-01</t>
        </is>
      </c>
      <c r="I627" s="19" t="n">
        <v>1</v>
      </c>
      <c r="J627" s="20" t="n">
        <v>215</v>
      </c>
      <c r="K627" s="20" t="n">
        <v>210.5</v>
      </c>
      <c r="L627" s="20" t="n">
        <v>25.86</v>
      </c>
      <c r="M627" s="20" t="n">
        <v>0</v>
      </c>
      <c r="N627" s="20">
        <f>K627*0.08+L627*0.08</f>
        <v/>
      </c>
      <c r="O627" s="20">
        <f>-(K627*0.025+L627*0.025)</f>
        <v/>
      </c>
      <c r="P627" s="20">
        <f>32</f>
        <v/>
      </c>
      <c r="Q627" s="20">
        <f>J627+L627+N627+O627-P627-M627</f>
        <v/>
      </c>
    </row>
    <row r="628">
      <c r="A628" s="19" t="inlineStr">
        <is>
          <t>6.12-6.18</t>
        </is>
      </c>
      <c r="B628" s="19" t="inlineStr">
        <is>
          <t>PO-128-15524018340472796</t>
        </is>
      </c>
      <c r="C628" s="19" t="inlineStr">
        <is>
          <t>Delivered</t>
        </is>
      </c>
      <c r="D628" s="19" t="inlineStr">
        <is>
          <t>128-15524028826232796</t>
        </is>
      </c>
      <c r="E628" s="19" t="inlineStr">
        <is>
          <t>Delivered</t>
        </is>
      </c>
      <c r="F628" s="19" t="inlineStr">
        <is>
          <t>BS-09</t>
        </is>
      </c>
      <c r="G628" s="19" t="inlineStr">
        <is>
          <t>Altavoz de barra para PC con iluminación RGB, sonido de alta fidelidad y múltiples conexiones: Bluetooth, radio FM, USB, TF, AUX y TWS. Ideal para juegos, reuniones y cine en casa.</t>
        </is>
      </c>
      <c r="H628" s="19" t="inlineStr">
        <is>
          <t>NEGRO</t>
        </is>
      </c>
      <c r="I628" s="19" t="n">
        <v>1</v>
      </c>
      <c r="J628" s="20" t="n">
        <v>116</v>
      </c>
      <c r="K628" s="20" t="n">
        <v>144.38</v>
      </c>
      <c r="L628" s="20" t="n">
        <v>25.86</v>
      </c>
      <c r="M628" s="20" t="n">
        <v>0</v>
      </c>
      <c r="N628" s="20">
        <f>K628*0.08+L628*0.08</f>
        <v/>
      </c>
      <c r="O628" s="20">
        <f>-(K628*0.025+L628*0.025)</f>
        <v/>
      </c>
      <c r="P628" s="20">
        <f>32</f>
        <v/>
      </c>
      <c r="Q628" s="20">
        <f>J628+L628+N628+O628-P628-M628</f>
        <v/>
      </c>
    </row>
    <row r="629">
      <c r="A629" s="19" t="inlineStr">
        <is>
          <t>6.12-6.18</t>
        </is>
      </c>
      <c r="B629" s="19" t="inlineStr">
        <is>
          <t>PO-128-15771434967673243</t>
        </is>
      </c>
      <c r="C629" s="19" t="inlineStr">
        <is>
          <t>Delivered</t>
        </is>
      </c>
      <c r="D629" s="19" t="inlineStr">
        <is>
          <t>128-15771487396473243</t>
        </is>
      </c>
      <c r="E629" s="19" t="inlineStr">
        <is>
          <t>Delivered</t>
        </is>
      </c>
      <c r="F629" s="19" t="inlineStr">
        <is>
          <t>BS-01</t>
        </is>
      </c>
      <c r="G62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29" s="19" t="inlineStr">
        <is>
          <t>BS-01</t>
        </is>
      </c>
      <c r="I629" s="19" t="n">
        <v>1</v>
      </c>
      <c r="J629" s="20" t="n">
        <v>215</v>
      </c>
      <c r="K629" s="20" t="n">
        <v>253.6</v>
      </c>
      <c r="L629" s="20" t="n">
        <v>25.86</v>
      </c>
      <c r="M629" s="20" t="n">
        <v>0</v>
      </c>
      <c r="N629" s="20">
        <f>K629*0.08+L629*0.08</f>
        <v/>
      </c>
      <c r="O629" s="20">
        <f>-(K629*0.025+L629*0.025)</f>
        <v/>
      </c>
      <c r="P629" s="20">
        <f>32</f>
        <v/>
      </c>
      <c r="Q629" s="20">
        <f>J629+L629+N629+O629-P629-M629</f>
        <v/>
      </c>
    </row>
    <row r="630">
      <c r="A630" s="19" t="inlineStr">
        <is>
          <t>6.12-6.18</t>
        </is>
      </c>
      <c r="B630" s="19" t="inlineStr">
        <is>
          <t>PO-128-15459862446711133</t>
        </is>
      </c>
      <c r="C630" s="19" t="inlineStr">
        <is>
          <t>Delivered</t>
        </is>
      </c>
      <c r="D630" s="19" t="inlineStr">
        <is>
          <t>128-15459851960951133</t>
        </is>
      </c>
      <c r="E630" s="19" t="inlineStr">
        <is>
          <t>Delivered</t>
        </is>
      </c>
      <c r="F630" s="19" t="inlineStr">
        <is>
          <t>BS-01</t>
        </is>
      </c>
      <c r="G63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0" s="19" t="inlineStr">
        <is>
          <t>BS-01</t>
        </is>
      </c>
      <c r="I630" s="19" t="n">
        <v>1</v>
      </c>
      <c r="J630" s="20" t="n">
        <v>215</v>
      </c>
      <c r="K630" s="20" t="n">
        <v>253.6</v>
      </c>
      <c r="L630" s="20" t="n">
        <v>25.86</v>
      </c>
      <c r="M630" s="20" t="n">
        <v>0</v>
      </c>
      <c r="N630" s="20">
        <f>K630*0.08+L630*0.08</f>
        <v/>
      </c>
      <c r="O630" s="20">
        <f>-(K630*0.025+L630*0.025)</f>
        <v/>
      </c>
      <c r="P630" s="20">
        <f>32</f>
        <v/>
      </c>
      <c r="Q630" s="20">
        <f>J630+L630+N630+O630-P630-M630</f>
        <v/>
      </c>
    </row>
    <row r="631">
      <c r="A631" s="19" t="inlineStr">
        <is>
          <t>6.12-6.18</t>
        </is>
      </c>
      <c r="B631" s="19" t="inlineStr">
        <is>
          <t>PO-128-15451128059511057</t>
        </is>
      </c>
      <c r="C631" s="19" t="inlineStr">
        <is>
          <t>Delivered</t>
        </is>
      </c>
      <c r="D631" s="19" t="inlineStr">
        <is>
          <t>128-15451107087991057</t>
        </is>
      </c>
      <c r="E631" s="19" t="inlineStr">
        <is>
          <t>Delivered</t>
        </is>
      </c>
      <c r="F631" s="19" t="inlineStr">
        <is>
          <t>BS-01</t>
        </is>
      </c>
      <c r="G63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1" s="19" t="inlineStr">
        <is>
          <t>BS-01</t>
        </is>
      </c>
      <c r="I631" s="19" t="n">
        <v>1</v>
      </c>
      <c r="J631" s="20" t="n">
        <v>215</v>
      </c>
      <c r="K631" s="20" t="n">
        <v>202.88</v>
      </c>
      <c r="L631" s="20" t="n">
        <v>25.86</v>
      </c>
      <c r="M631" s="20" t="n">
        <v>0</v>
      </c>
      <c r="N631" s="20">
        <f>K631*0.08+L631*0.08</f>
        <v/>
      </c>
      <c r="O631" s="20">
        <f>-(K631*0.025+L631*0.025)</f>
        <v/>
      </c>
      <c r="P631" s="20">
        <f>32</f>
        <v/>
      </c>
      <c r="Q631" s="20">
        <f>J631+L631+N631+O631-P631-M631</f>
        <v/>
      </c>
    </row>
    <row r="632">
      <c r="A632" s="19" t="inlineStr">
        <is>
          <t>6.12-6.18</t>
        </is>
      </c>
      <c r="B632" s="19" t="inlineStr">
        <is>
          <t>PO-128-15643033498234009</t>
        </is>
      </c>
      <c r="C632" s="19" t="inlineStr">
        <is>
          <t>Delivered</t>
        </is>
      </c>
      <c r="D632" s="19" t="inlineStr">
        <is>
          <t>128-15643054469754009</t>
        </is>
      </c>
      <c r="E632" s="19" t="inlineStr">
        <is>
          <t>Delivered</t>
        </is>
      </c>
      <c r="F632" s="19" t="inlineStr">
        <is>
          <t>BS-09</t>
        </is>
      </c>
      <c r="G632" s="19" t="inlineStr">
        <is>
          <t>Altavoz de barra para PC con iluminación RGB, sonido de alta fidelidad y múltiples conexiones: Bluetooth, radio FM, USB, TF, AUX y TWS. Ideal para juegos, reuniones y cine en casa.</t>
        </is>
      </c>
      <c r="H632" s="19" t="inlineStr">
        <is>
          <t>NEGRO</t>
        </is>
      </c>
      <c r="I632" s="19" t="n">
        <v>1</v>
      </c>
      <c r="J632" s="20" t="n">
        <v>116</v>
      </c>
      <c r="K632" s="20" t="n">
        <v>144.38</v>
      </c>
      <c r="L632" s="20" t="n">
        <v>25.86</v>
      </c>
      <c r="M632" s="20" t="n">
        <v>0</v>
      </c>
      <c r="N632" s="20">
        <f>K632*0.08+L632*0.08</f>
        <v/>
      </c>
      <c r="O632" s="20">
        <f>-(K632*0.025+L632*0.025)</f>
        <v/>
      </c>
      <c r="P632" s="20">
        <f>32</f>
        <v/>
      </c>
      <c r="Q632" s="20">
        <f>J632+L632+N632+O632-P632-M632</f>
        <v/>
      </c>
    </row>
    <row r="633">
      <c r="A633" s="19" t="inlineStr">
        <is>
          <t>6.12-6.18</t>
        </is>
      </c>
      <c r="B633" s="19" t="inlineStr">
        <is>
          <t>PO-128-15410779914871361</t>
        </is>
      </c>
      <c r="C633" s="19" t="inlineStr">
        <is>
          <t>Delivered</t>
        </is>
      </c>
      <c r="D633" s="19" t="inlineStr">
        <is>
          <t>128-15410821857911361</t>
        </is>
      </c>
      <c r="E633" s="19" t="inlineStr">
        <is>
          <t>Delivered</t>
        </is>
      </c>
      <c r="F633" s="19" t="inlineStr">
        <is>
          <t>BS-01</t>
        </is>
      </c>
      <c r="G63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3" s="19" t="inlineStr">
        <is>
          <t>BS-01</t>
        </is>
      </c>
      <c r="I633" s="19" t="n">
        <v>1</v>
      </c>
      <c r="J633" s="20" t="n">
        <v>218.99</v>
      </c>
      <c r="K633" s="20" t="n">
        <v>257.59</v>
      </c>
      <c r="L633" s="20" t="n">
        <v>25.86</v>
      </c>
      <c r="M633" s="20" t="n">
        <v>0</v>
      </c>
      <c r="N633" s="20">
        <f>K633*0.08+L633*0.08</f>
        <v/>
      </c>
      <c r="O633" s="20">
        <f>-(K633*0.025+L633*0.025)</f>
        <v/>
      </c>
      <c r="P633" s="20">
        <f>32</f>
        <v/>
      </c>
      <c r="Q633" s="20">
        <f>J633+L633+N633+O633-P633-M633</f>
        <v/>
      </c>
    </row>
    <row r="634">
      <c r="A634" s="19" t="inlineStr">
        <is>
          <t>6.12-6.18</t>
        </is>
      </c>
      <c r="B634" s="19" t="inlineStr">
        <is>
          <t>PO-128-15480531272313057</t>
        </is>
      </c>
      <c r="C634" s="19" t="inlineStr">
        <is>
          <t>Delivered</t>
        </is>
      </c>
      <c r="D634" s="19" t="inlineStr">
        <is>
          <t>128-15480536515193057</t>
        </is>
      </c>
      <c r="E634" s="19" t="inlineStr">
        <is>
          <t>Delivered</t>
        </is>
      </c>
      <c r="F634" s="19" t="inlineStr">
        <is>
          <t>BS-09</t>
        </is>
      </c>
      <c r="G634" s="19" t="inlineStr">
        <is>
          <t>Altavoz de barra para PC con iluminación RGB, sonido de alta fidelidad y múltiples conexiones: Bluetooth, radio FM, USB, TF, AUX y TWS. Ideal para juegos, reuniones y cine en casa.</t>
        </is>
      </c>
      <c r="H634" s="19" t="inlineStr">
        <is>
          <t>NEGRO</t>
        </is>
      </c>
      <c r="I634" s="19" t="n">
        <v>2</v>
      </c>
      <c r="J634" s="20" t="n">
        <v>235.98</v>
      </c>
      <c r="K634" s="20" t="n">
        <v>292.72</v>
      </c>
      <c r="L634" s="20" t="n">
        <v>0</v>
      </c>
      <c r="M634" s="20" t="n">
        <v>0</v>
      </c>
      <c r="N634" s="20">
        <f>K634*0.08+L634*0.08</f>
        <v/>
      </c>
      <c r="O634" s="20">
        <f>-(K634*0.025+L634*0.025)</f>
        <v/>
      </c>
      <c r="P634" s="20">
        <f>32</f>
        <v/>
      </c>
      <c r="Q634" s="20">
        <f>J634+L634+N634+O634-P634-M634</f>
        <v/>
      </c>
    </row>
    <row r="635">
      <c r="A635" s="19" t="inlineStr">
        <is>
          <t>6.12-6.18</t>
        </is>
      </c>
      <c r="B635" s="19" t="inlineStr">
        <is>
          <t>PO-128-15330859264631901</t>
        </is>
      </c>
      <c r="C635" s="19" t="inlineStr">
        <is>
          <t>Delivered</t>
        </is>
      </c>
      <c r="D635" s="19" t="inlineStr">
        <is>
          <t>128-15330927422071901</t>
        </is>
      </c>
      <c r="E635" s="19" t="inlineStr">
        <is>
          <t>Delivered</t>
        </is>
      </c>
      <c r="F635" s="19" t="inlineStr">
        <is>
          <t>IE03CN</t>
        </is>
      </c>
      <c r="G635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635" s="19" t="inlineStr">
        <is>
          <t>NEGRO</t>
        </is>
      </c>
      <c r="I635" s="19" t="n">
        <v>1</v>
      </c>
      <c r="J635" s="20" t="n">
        <v>40</v>
      </c>
      <c r="K635" s="20" t="n">
        <v>68.72</v>
      </c>
      <c r="L635" s="20" t="n">
        <v>25.86</v>
      </c>
      <c r="M635" s="20" t="n">
        <v>0</v>
      </c>
      <c r="N635" s="20">
        <f>K635*0.08+L635*0.08</f>
        <v/>
      </c>
      <c r="O635" s="20">
        <f>-(K635*0.025+L635*0.025)</f>
        <v/>
      </c>
      <c r="P635" s="20">
        <f>32</f>
        <v/>
      </c>
      <c r="Q635" s="20">
        <f>J635+L635+N635+O635-P635-M635</f>
        <v/>
      </c>
    </row>
    <row r="636">
      <c r="A636" s="19" t="inlineStr">
        <is>
          <t>6.12-6.18</t>
        </is>
      </c>
      <c r="B636" s="19" t="inlineStr">
        <is>
          <t>PO-128-15791961385593121</t>
        </is>
      </c>
      <c r="C636" s="19" t="inlineStr">
        <is>
          <t>Delivered</t>
        </is>
      </c>
      <c r="D636" s="19" t="inlineStr">
        <is>
          <t>128-15791919442553121</t>
        </is>
      </c>
      <c r="E636" s="19" t="inlineStr">
        <is>
          <t>Delivered</t>
        </is>
      </c>
      <c r="F636" s="19" t="inlineStr">
        <is>
          <t>BS-01</t>
        </is>
      </c>
      <c r="G63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6" s="19" t="inlineStr">
        <is>
          <t>BS-01</t>
        </is>
      </c>
      <c r="I636" s="19" t="n">
        <v>1</v>
      </c>
      <c r="J636" s="20" t="n">
        <v>218.99</v>
      </c>
      <c r="K636" s="20" t="n">
        <v>257.59</v>
      </c>
      <c r="L636" s="20" t="n">
        <v>25.86</v>
      </c>
      <c r="M636" s="20" t="n">
        <v>0</v>
      </c>
      <c r="N636" s="20">
        <f>K636*0.08+L636*0.08</f>
        <v/>
      </c>
      <c r="O636" s="20">
        <f>-(K636*0.025+L636*0.025)</f>
        <v/>
      </c>
      <c r="P636" s="20">
        <f>32</f>
        <v/>
      </c>
      <c r="Q636" s="20">
        <f>J636+L636+N636+O636-P636-M636</f>
        <v/>
      </c>
    </row>
    <row r="637">
      <c r="A637" s="19" t="inlineStr">
        <is>
          <t>6.12-6.18</t>
        </is>
      </c>
      <c r="B637" s="19" t="inlineStr">
        <is>
          <t>PO-128-15452277391991112</t>
        </is>
      </c>
      <c r="C637" s="19" t="inlineStr">
        <is>
          <t>Delivered</t>
        </is>
      </c>
      <c r="D637" s="19" t="inlineStr">
        <is>
          <t>128-15452235448951112</t>
        </is>
      </c>
      <c r="E637" s="19" t="inlineStr">
        <is>
          <t>Delivered</t>
        </is>
      </c>
      <c r="F637" s="19" t="inlineStr">
        <is>
          <t>BS-01</t>
        </is>
      </c>
      <c r="G63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7" s="19" t="inlineStr">
        <is>
          <t>BS-01</t>
        </is>
      </c>
      <c r="I637" s="19" t="n">
        <v>1</v>
      </c>
      <c r="J637" s="20" t="n">
        <v>218.99</v>
      </c>
      <c r="K637" s="20" t="n">
        <v>257.59</v>
      </c>
      <c r="L637" s="20" t="n">
        <v>25.86</v>
      </c>
      <c r="M637" s="20" t="n">
        <v>0</v>
      </c>
      <c r="N637" s="20">
        <f>K637*0.08+L637*0.08</f>
        <v/>
      </c>
      <c r="O637" s="20">
        <f>-(K637*0.025+L637*0.025)</f>
        <v/>
      </c>
      <c r="P637" s="20">
        <f>32</f>
        <v/>
      </c>
      <c r="Q637" s="20">
        <f>J637+L637+N637+O637-P637-M637</f>
        <v/>
      </c>
    </row>
    <row r="638">
      <c r="A638" s="19" t="inlineStr">
        <is>
          <t>6.12-6.18</t>
        </is>
      </c>
      <c r="B638" s="19" t="inlineStr">
        <is>
          <t>PO-128-04256867410550130</t>
        </is>
      </c>
      <c r="C638" s="19" t="inlineStr">
        <is>
          <t>Delivered</t>
        </is>
      </c>
      <c r="D638" s="19" t="inlineStr">
        <is>
          <t>128-04256783524470130</t>
        </is>
      </c>
      <c r="E638" s="19" t="inlineStr">
        <is>
          <t>Delivered</t>
        </is>
      </c>
      <c r="F638" s="19" t="inlineStr">
        <is>
          <t>BS-01</t>
        </is>
      </c>
      <c r="G63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8" s="19" t="inlineStr">
        <is>
          <t>BS-01</t>
        </is>
      </c>
      <c r="I638" s="19" t="n">
        <v>1</v>
      </c>
      <c r="J638" s="20" t="n">
        <v>218.99</v>
      </c>
      <c r="K638" s="20" t="n">
        <v>257.59</v>
      </c>
      <c r="L638" s="20" t="n">
        <v>0</v>
      </c>
      <c r="M638" s="20" t="n">
        <v>0</v>
      </c>
      <c r="N638" s="20">
        <f>K638*0.08+L638*0.08</f>
        <v/>
      </c>
      <c r="O638" s="20">
        <f>-(K638*0.025+L638*0.025)</f>
        <v/>
      </c>
      <c r="P638" s="20">
        <f>32</f>
        <v/>
      </c>
      <c r="Q638" s="20">
        <f>J638+L638+N638+O638-P638-M638</f>
        <v/>
      </c>
    </row>
    <row r="639">
      <c r="A639" s="19" t="inlineStr">
        <is>
          <t>6.12-6.18</t>
        </is>
      </c>
      <c r="B639" s="19" t="inlineStr">
        <is>
          <t>PO-128-04256867410550130</t>
        </is>
      </c>
      <c r="C639" s="19" t="inlineStr">
        <is>
          <t>Delivered</t>
        </is>
      </c>
      <c r="D639" s="19" t="inlineStr">
        <is>
          <t>128-04256825467510130</t>
        </is>
      </c>
      <c r="E639" s="19" t="inlineStr">
        <is>
          <t>Delivered</t>
        </is>
      </c>
      <c r="F639" s="19" t="inlineStr">
        <is>
          <t>GA01UN</t>
        </is>
      </c>
      <c r="G639" s="19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H639" s="19" t="inlineStr">
        <is>
          <t>1 pieza</t>
        </is>
      </c>
      <c r="I639" s="19" t="n">
        <v>1</v>
      </c>
      <c r="J639" s="20" t="n">
        <v>32</v>
      </c>
      <c r="K639" s="20" t="n">
        <v>40.72</v>
      </c>
      <c r="L639" s="20" t="n">
        <v>0</v>
      </c>
      <c r="M639" s="20" t="n">
        <v>0</v>
      </c>
      <c r="N639" s="20">
        <f>K639*0.08+L639*0.08</f>
        <v/>
      </c>
      <c r="O639" s="20">
        <f>-(K639*0.025+L639*0.025)</f>
        <v/>
      </c>
      <c r="P639" s="20">
        <f>32</f>
        <v/>
      </c>
      <c r="Q639" s="20">
        <f>J639+L639+N639+O639-P639-M639</f>
        <v/>
      </c>
    </row>
    <row r="640">
      <c r="A640" s="19" t="inlineStr">
        <is>
          <t>6.12-6.18</t>
        </is>
      </c>
      <c r="B640" s="19" t="inlineStr">
        <is>
          <t>PO-128-04717893929593654</t>
        </is>
      </c>
      <c r="C640" s="19" t="inlineStr">
        <is>
          <t>Delivered</t>
        </is>
      </c>
      <c r="D640" s="19" t="inlineStr">
        <is>
          <t>128-04717851986553654</t>
        </is>
      </c>
      <c r="E640" s="19" t="inlineStr">
        <is>
          <t>Delivered</t>
        </is>
      </c>
      <c r="F640" s="19" t="inlineStr">
        <is>
          <t>BS-01</t>
        </is>
      </c>
      <c r="G64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0" s="19" t="inlineStr">
        <is>
          <t>BS-01</t>
        </is>
      </c>
      <c r="I640" s="19" t="n">
        <v>1</v>
      </c>
      <c r="J640" s="20" t="n">
        <v>218.99</v>
      </c>
      <c r="K640" s="20" t="n">
        <v>257.59</v>
      </c>
      <c r="L640" s="20" t="n">
        <v>25.86</v>
      </c>
      <c r="M640" s="20" t="n">
        <v>0</v>
      </c>
      <c r="N640" s="20">
        <f>K640*0.08+L640*0.08</f>
        <v/>
      </c>
      <c r="O640" s="20">
        <f>-(K640*0.025+L640*0.025)</f>
        <v/>
      </c>
      <c r="P640" s="20">
        <f>32</f>
        <v/>
      </c>
      <c r="Q640" s="20">
        <f>J640+L640+N640+O640-P640-M640</f>
        <v/>
      </c>
    </row>
    <row r="641">
      <c r="A641" s="19" t="inlineStr">
        <is>
          <t>6.12-6.18</t>
        </is>
      </c>
      <c r="B641" s="19" t="inlineStr">
        <is>
          <t>PO-128-04426069340791171</t>
        </is>
      </c>
      <c r="C641" s="19" t="inlineStr">
        <is>
          <t>Delivered</t>
        </is>
      </c>
      <c r="D641" s="19" t="inlineStr">
        <is>
          <t>128-04426090312311171</t>
        </is>
      </c>
      <c r="E641" s="19" t="inlineStr">
        <is>
          <t>Delivered</t>
        </is>
      </c>
      <c r="F641" s="19" t="inlineStr">
        <is>
          <t>BS-01</t>
        </is>
      </c>
      <c r="G64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1" s="19" t="inlineStr">
        <is>
          <t>BS-01</t>
        </is>
      </c>
      <c r="I641" s="19" t="n">
        <v>1</v>
      </c>
      <c r="J641" s="20" t="n">
        <v>218.99</v>
      </c>
      <c r="K641" s="20" t="n">
        <v>257.59</v>
      </c>
      <c r="L641" s="20" t="n">
        <v>25.86</v>
      </c>
      <c r="M641" s="20" t="n">
        <v>0</v>
      </c>
      <c r="N641" s="20">
        <f>K641*0.08+L641*0.08</f>
        <v/>
      </c>
      <c r="O641" s="20">
        <f>-(K641*0.025+L641*0.025)</f>
        <v/>
      </c>
      <c r="P641" s="20">
        <f>32</f>
        <v/>
      </c>
      <c r="Q641" s="20">
        <f>J641+L641+N641+O641-P641-M641</f>
        <v/>
      </c>
    </row>
    <row r="642">
      <c r="A642" s="19" t="inlineStr">
        <is>
          <t>6.12-6.18</t>
        </is>
      </c>
      <c r="B642" s="19" t="inlineStr">
        <is>
          <t>PO-128-04750593229433333</t>
        </is>
      </c>
      <c r="C642" s="19" t="inlineStr">
        <is>
          <t>Delivered</t>
        </is>
      </c>
      <c r="D642" s="19" t="inlineStr">
        <is>
          <t>128-04750614200953333</t>
        </is>
      </c>
      <c r="E642" s="19" t="inlineStr">
        <is>
          <t>Delivered</t>
        </is>
      </c>
      <c r="F642" s="19" t="inlineStr">
        <is>
          <t>BS-01</t>
        </is>
      </c>
      <c r="G64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2" s="19" t="inlineStr">
        <is>
          <t>BS-01</t>
        </is>
      </c>
      <c r="I642" s="19" t="n">
        <v>1</v>
      </c>
      <c r="J642" s="20" t="n">
        <v>218.99</v>
      </c>
      <c r="K642" s="20" t="n">
        <v>257.59</v>
      </c>
      <c r="L642" s="20" t="n">
        <v>25.86</v>
      </c>
      <c r="M642" s="20" t="n">
        <v>0</v>
      </c>
      <c r="N642" s="20">
        <f>K642*0.08+L642*0.08</f>
        <v/>
      </c>
      <c r="O642" s="20">
        <f>-(K642*0.025+L642*0.025)</f>
        <v/>
      </c>
      <c r="P642" s="20">
        <f>32</f>
        <v/>
      </c>
      <c r="Q642" s="20">
        <f>J642+L642+N642+O642-P642-M642</f>
        <v/>
      </c>
    </row>
    <row r="643">
      <c r="A643" s="19" t="inlineStr">
        <is>
          <t>6.12-6.18</t>
        </is>
      </c>
      <c r="B643" s="19" t="inlineStr">
        <is>
          <t>PO-128-04502883784312889</t>
        </is>
      </c>
      <c r="C643" s="19" t="inlineStr">
        <is>
          <t>Delivered</t>
        </is>
      </c>
      <c r="D643" s="19" t="inlineStr">
        <is>
          <t>128-04502925727352889</t>
        </is>
      </c>
      <c r="E643" s="19" t="inlineStr">
        <is>
          <t>Delivered</t>
        </is>
      </c>
      <c r="F643" s="19" t="inlineStr">
        <is>
          <t>BS-01</t>
        </is>
      </c>
      <c r="G64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3" s="19" t="inlineStr">
        <is>
          <t>BS-01</t>
        </is>
      </c>
      <c r="I643" s="19" t="n">
        <v>1</v>
      </c>
      <c r="J643" s="20" t="n">
        <v>218.99</v>
      </c>
      <c r="K643" s="20" t="n">
        <v>257.59</v>
      </c>
      <c r="L643" s="20" t="n">
        <v>25.86</v>
      </c>
      <c r="M643" s="20" t="n">
        <v>0</v>
      </c>
      <c r="N643" s="20">
        <f>K643*0.08+L643*0.08</f>
        <v/>
      </c>
      <c r="O643" s="20">
        <f>-(K643*0.025+L643*0.025)</f>
        <v/>
      </c>
      <c r="P643" s="20">
        <f>32</f>
        <v/>
      </c>
      <c r="Q643" s="20">
        <f>J643+L643+N643+O643-P643-M643</f>
        <v/>
      </c>
    </row>
    <row r="644">
      <c r="A644" s="19" t="inlineStr">
        <is>
          <t>6.12-6.18</t>
        </is>
      </c>
      <c r="B644" s="19" t="inlineStr">
        <is>
          <t>PO-128-04781181522553276</t>
        </is>
      </c>
      <c r="C644" s="19" t="inlineStr">
        <is>
          <t>Delivered</t>
        </is>
      </c>
      <c r="D644" s="19" t="inlineStr">
        <is>
          <t>128-04781317837433276</t>
        </is>
      </c>
      <c r="E644" s="19" t="inlineStr">
        <is>
          <t>Delivered</t>
        </is>
      </c>
      <c r="F644" s="19" t="inlineStr">
        <is>
          <t>BS-09</t>
        </is>
      </c>
      <c r="G644" s="19" t="inlineStr">
        <is>
          <t>Altavoz de barra para PC con iluminación RGB, sonido de alta fidelidad y múltiples conexiones: Bluetooth, radio FM, USB, TF, AUX y TWS. Ideal para juegos, reuniones y cine en casa.</t>
        </is>
      </c>
      <c r="H644" s="19" t="inlineStr">
        <is>
          <t>NEGRO</t>
        </is>
      </c>
      <c r="I644" s="19" t="n">
        <v>1</v>
      </c>
      <c r="J644" s="20" t="n">
        <v>117.99</v>
      </c>
      <c r="K644" s="20" t="n">
        <v>146.36</v>
      </c>
      <c r="L644" s="20" t="n">
        <v>25.86</v>
      </c>
      <c r="M644" s="20" t="n">
        <v>0</v>
      </c>
      <c r="N644" s="20">
        <f>K644*0.08+L644*0.08</f>
        <v/>
      </c>
      <c r="O644" s="20">
        <f>-(K644*0.025+L644*0.025)</f>
        <v/>
      </c>
      <c r="P644" s="20">
        <f>32</f>
        <v/>
      </c>
      <c r="Q644" s="20">
        <f>J644+L644+N644+O644-P644-M644</f>
        <v/>
      </c>
    </row>
    <row r="645">
      <c r="A645" s="19" t="inlineStr">
        <is>
          <t>6.12-6.18</t>
        </is>
      </c>
      <c r="B645" s="19" t="inlineStr">
        <is>
          <t>PO-128-04147445883510782</t>
        </is>
      </c>
      <c r="C645" s="19" t="inlineStr">
        <is>
          <t>Delivered</t>
        </is>
      </c>
      <c r="D645" s="19" t="inlineStr">
        <is>
          <t>128-04147466855030782</t>
        </is>
      </c>
      <c r="E645" s="19" t="inlineStr">
        <is>
          <t>Delivered</t>
        </is>
      </c>
      <c r="F645" s="19" t="inlineStr">
        <is>
          <t>BS-01</t>
        </is>
      </c>
      <c r="G64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5" s="19" t="inlineStr">
        <is>
          <t>BS-01</t>
        </is>
      </c>
      <c r="I645" s="19" t="n">
        <v>1</v>
      </c>
      <c r="J645" s="20" t="n">
        <v>218.99</v>
      </c>
      <c r="K645" s="20" t="n">
        <v>216.93</v>
      </c>
      <c r="L645" s="20" t="n">
        <v>25.86</v>
      </c>
      <c r="M645" s="20" t="n">
        <v>0</v>
      </c>
      <c r="N645" s="20">
        <f>K645*0.08+L645*0.08</f>
        <v/>
      </c>
      <c r="O645" s="20">
        <f>-(K645*0.025+L645*0.025)</f>
        <v/>
      </c>
      <c r="P645" s="20">
        <f>32</f>
        <v/>
      </c>
      <c r="Q645" s="20">
        <f>J645+L645+N645+O645-P645-M645</f>
        <v/>
      </c>
    </row>
    <row r="646">
      <c r="A646" s="19" t="inlineStr">
        <is>
          <t>6.12-6.18</t>
        </is>
      </c>
      <c r="B646" s="19" t="inlineStr">
        <is>
          <t>PO-128-04625247785592094</t>
        </is>
      </c>
      <c r="C646" s="19" t="inlineStr">
        <is>
          <t>Delivered</t>
        </is>
      </c>
      <c r="D646" s="19" t="inlineStr">
        <is>
          <t>128-04625310638712094</t>
        </is>
      </c>
      <c r="E646" s="19" t="inlineStr">
        <is>
          <t>Delivered</t>
        </is>
      </c>
      <c r="F646" s="19" t="inlineStr">
        <is>
          <t>BS-09</t>
        </is>
      </c>
      <c r="G646" s="19" t="inlineStr">
        <is>
          <t>Altavoz de barra para PC con iluminación RGB, sonido de alta fidelidad y múltiples conexiones: Bluetooth, radio FM, USB, TF, AUX y TWS. Ideal para juegos, reuniones y cine en casa.</t>
        </is>
      </c>
      <c r="H646" s="19" t="inlineStr">
        <is>
          <t>NEGRO</t>
        </is>
      </c>
      <c r="I646" s="19" t="n">
        <v>1</v>
      </c>
      <c r="J646" s="20" t="n">
        <v>117.99</v>
      </c>
      <c r="K646" s="20" t="n">
        <v>146.36</v>
      </c>
      <c r="L646" s="20" t="n">
        <v>25.86</v>
      </c>
      <c r="M646" s="20" t="n">
        <v>0</v>
      </c>
      <c r="N646" s="20">
        <f>K646*0.08+L646*0.08</f>
        <v/>
      </c>
      <c r="O646" s="20">
        <f>-(K646*0.025+L646*0.025)</f>
        <v/>
      </c>
      <c r="P646" s="20">
        <f>32</f>
        <v/>
      </c>
      <c r="Q646" s="20">
        <f>J646+L646+N646+O646-P646-M646</f>
        <v/>
      </c>
    </row>
    <row r="647">
      <c r="A647" s="19" t="inlineStr">
        <is>
          <t>6.12-6.18</t>
        </is>
      </c>
      <c r="B647" s="19" t="inlineStr">
        <is>
          <t>PO-128-04144713800310798</t>
        </is>
      </c>
      <c r="C647" s="19" t="inlineStr">
        <is>
          <t>Delivered</t>
        </is>
      </c>
      <c r="D647" s="19" t="inlineStr">
        <is>
          <t>128-04144776714870798</t>
        </is>
      </c>
      <c r="E647" s="19" t="inlineStr">
        <is>
          <t>Delivered</t>
        </is>
      </c>
      <c r="F647" s="19" t="inlineStr">
        <is>
          <t>BS-01</t>
        </is>
      </c>
      <c r="G64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7" s="19" t="inlineStr">
        <is>
          <t>BS-01</t>
        </is>
      </c>
      <c r="I647" s="19" t="n">
        <v>1</v>
      </c>
      <c r="J647" s="20" t="n">
        <v>218.99</v>
      </c>
      <c r="K647" s="20" t="n">
        <v>257.59</v>
      </c>
      <c r="L647" s="20" t="n">
        <v>25.86</v>
      </c>
      <c r="M647" s="20" t="n">
        <v>0</v>
      </c>
      <c r="N647" s="20">
        <f>K647*0.08+L647*0.08</f>
        <v/>
      </c>
      <c r="O647" s="20">
        <f>-(K647*0.025+L647*0.025)</f>
        <v/>
      </c>
      <c r="P647" s="20">
        <f>32</f>
        <v/>
      </c>
      <c r="Q647" s="20">
        <f>J647+L647+N647+O647-P647-M647</f>
        <v/>
      </c>
    </row>
    <row r="648">
      <c r="A648" s="19" t="inlineStr">
        <is>
          <t>6.12-6.18</t>
        </is>
      </c>
      <c r="B648" s="19" t="inlineStr">
        <is>
          <t>PO-128-04782070129273273</t>
        </is>
      </c>
      <c r="C648" s="19" t="inlineStr">
        <is>
          <t>Delivered</t>
        </is>
      </c>
      <c r="D648" s="19" t="inlineStr">
        <is>
          <t>128-04782112072313273</t>
        </is>
      </c>
      <c r="E648" s="19" t="inlineStr">
        <is>
          <t>Delivered</t>
        </is>
      </c>
      <c r="F648" s="19" t="inlineStr">
        <is>
          <t>BS-09</t>
        </is>
      </c>
      <c r="G648" s="19" t="inlineStr">
        <is>
          <t>Altavoz de barra para PC con iluminación RGB, sonido de alta fidelidad y múltiples conexiones: Bluetooth, radio FM, USB, TF, AUX y TWS. Ideal para juegos, reuniones y cine en casa.</t>
        </is>
      </c>
      <c r="H648" s="19" t="inlineStr">
        <is>
          <t>NEGRO</t>
        </is>
      </c>
      <c r="I648" s="19" t="n">
        <v>1</v>
      </c>
      <c r="J648" s="20" t="n">
        <v>117.99</v>
      </c>
      <c r="K648" s="20" t="n">
        <v>86.02</v>
      </c>
      <c r="L648" s="20" t="n">
        <v>25.86</v>
      </c>
      <c r="M648" s="20" t="n">
        <v>1.17</v>
      </c>
      <c r="N648" s="20">
        <f>K648*0.08+L648*0.08</f>
        <v/>
      </c>
      <c r="O648" s="20">
        <f>-(K648*0.025+L648*0.025)</f>
        <v/>
      </c>
      <c r="P648" s="20">
        <f>32</f>
        <v/>
      </c>
      <c r="Q648" s="20">
        <f>J648+L648+N648+O648-P648-M648</f>
        <v/>
      </c>
    </row>
    <row r="649">
      <c r="A649" s="19" t="inlineStr">
        <is>
          <t>6.5-6.11</t>
        </is>
      </c>
      <c r="B649" s="19" t="inlineStr">
        <is>
          <t>PO-128-04213060280950393</t>
        </is>
      </c>
      <c r="C649" s="19" t="inlineStr">
        <is>
          <t>Delivered</t>
        </is>
      </c>
      <c r="D649" s="19" t="inlineStr">
        <is>
          <t>128-04213013095030393</t>
        </is>
      </c>
      <c r="E649" s="19" t="inlineStr">
        <is>
          <t>Delivered</t>
        </is>
      </c>
      <c r="F649" s="19" t="inlineStr">
        <is>
          <t>BS-01</t>
        </is>
      </c>
      <c r="G64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9" s="19" t="inlineStr">
        <is>
          <t>BS-01</t>
        </is>
      </c>
      <c r="I649" s="19" t="n">
        <v>1</v>
      </c>
      <c r="J649" s="20" t="n">
        <v>218.99</v>
      </c>
      <c r="K649" s="20" t="n">
        <v>257.59</v>
      </c>
      <c r="L649" s="20" t="n">
        <v>25.86</v>
      </c>
      <c r="M649" s="20" t="n">
        <v>0</v>
      </c>
      <c r="N649" s="20">
        <f>K649*0.08+L649*0.08</f>
        <v/>
      </c>
      <c r="O649" s="20">
        <f>-(K649*0.025+L649*0.025)</f>
        <v/>
      </c>
      <c r="P649" s="20">
        <f>32</f>
        <v/>
      </c>
      <c r="Q649" s="20">
        <f>J649+L649+N649+O649-P649-M649</f>
        <v/>
      </c>
    </row>
    <row r="650">
      <c r="A650" s="19" t="inlineStr">
        <is>
          <t>6.5-6.11</t>
        </is>
      </c>
      <c r="B650" s="19" t="inlineStr">
        <is>
          <t>PO-128-04161661368950891</t>
        </is>
      </c>
      <c r="C650" s="19" t="inlineStr">
        <is>
          <t>Delivered</t>
        </is>
      </c>
      <c r="D650" s="19" t="inlineStr">
        <is>
          <t>128-04161619425910891</t>
        </is>
      </c>
      <c r="E650" s="19" t="inlineStr">
        <is>
          <t>Delivered</t>
        </is>
      </c>
      <c r="F650" s="19" t="inlineStr">
        <is>
          <t>BS-01</t>
        </is>
      </c>
      <c r="G65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0" s="19" t="inlineStr">
        <is>
          <t>BS-01</t>
        </is>
      </c>
      <c r="I650" s="19" t="n">
        <v>1</v>
      </c>
      <c r="J650" s="20" t="n">
        <v>218.99</v>
      </c>
      <c r="K650" s="20" t="n">
        <v>257.59</v>
      </c>
      <c r="L650" s="20" t="n">
        <v>25.86</v>
      </c>
      <c r="M650" s="20" t="n">
        <v>0</v>
      </c>
      <c r="N650" s="20">
        <f>K650*0.08+L650*0.08</f>
        <v/>
      </c>
      <c r="O650" s="20">
        <f>-(K650*0.025+L650*0.025)</f>
        <v/>
      </c>
      <c r="P650" s="20">
        <f>32</f>
        <v/>
      </c>
      <c r="Q650" s="20">
        <f>J650+L650+N650+O650-P650-M650</f>
        <v/>
      </c>
    </row>
    <row r="651">
      <c r="A651" s="19" t="inlineStr">
        <is>
          <t>6.5-6.11</t>
        </is>
      </c>
      <c r="B651" s="19" t="inlineStr">
        <is>
          <t>PO-128-04438709007991222</t>
        </is>
      </c>
      <c r="C651" s="19" t="inlineStr">
        <is>
          <t>Delivered</t>
        </is>
      </c>
      <c r="D651" s="19" t="inlineStr">
        <is>
          <t>128-04438667064951222</t>
        </is>
      </c>
      <c r="E651" s="19" t="inlineStr">
        <is>
          <t>Delivered</t>
        </is>
      </c>
      <c r="F651" s="19" t="inlineStr">
        <is>
          <t>BS-01</t>
        </is>
      </c>
      <c r="G65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1" s="19" t="inlineStr">
        <is>
          <t>BS-01</t>
        </is>
      </c>
      <c r="I651" s="19" t="n">
        <v>1</v>
      </c>
      <c r="J651" s="20" t="n">
        <v>218.99</v>
      </c>
      <c r="K651" s="20" t="n">
        <v>257.59</v>
      </c>
      <c r="L651" s="20" t="n">
        <v>25.86</v>
      </c>
      <c r="M651" s="20" t="n">
        <v>0</v>
      </c>
      <c r="N651" s="20">
        <f>K651*0.08+L651*0.08</f>
        <v/>
      </c>
      <c r="O651" s="20">
        <f>-(K651*0.025+L651*0.025)</f>
        <v/>
      </c>
      <c r="P651" s="20">
        <f>32</f>
        <v/>
      </c>
      <c r="Q651" s="20">
        <f>J651+L651+N651+O651-P651-M651</f>
        <v/>
      </c>
    </row>
    <row r="652">
      <c r="A652" s="19" t="inlineStr">
        <is>
          <t>6.5-6.11</t>
        </is>
      </c>
      <c r="B652" s="19" t="inlineStr">
        <is>
          <t>PO-128-04615166249592282</t>
        </is>
      </c>
      <c r="C652" s="19" t="inlineStr">
        <is>
          <t>Delivered</t>
        </is>
      </c>
      <c r="D652" s="19" t="inlineStr">
        <is>
          <t>128-04615243909752282</t>
        </is>
      </c>
      <c r="E652" s="19" t="inlineStr">
        <is>
          <t>Delivered</t>
        </is>
      </c>
      <c r="F652" s="19" t="inlineStr">
        <is>
          <t>BS-09</t>
        </is>
      </c>
      <c r="G652" s="19" t="inlineStr">
        <is>
          <t>Altavoz de barra para PC con iluminación RGB, sonido de alta fidelidad y múltiples conexiones: Bluetooth, radio FM, USB, TF, AUX y TWS. Ideal para juegos, reuniones y cine en casa.</t>
        </is>
      </c>
      <c r="H652" s="19" t="inlineStr">
        <is>
          <t>NEGRO</t>
        </is>
      </c>
      <c r="I652" s="19" t="n">
        <v>1</v>
      </c>
      <c r="J652" s="20" t="n">
        <v>117.99</v>
      </c>
      <c r="K652" s="20" t="n">
        <v>146.36</v>
      </c>
      <c r="L652" s="20" t="n">
        <v>25.86</v>
      </c>
      <c r="M652" s="20" t="n">
        <v>0</v>
      </c>
      <c r="N652" s="20">
        <f>K652*0.08+L652*0.08</f>
        <v/>
      </c>
      <c r="O652" s="20">
        <f>-(K652*0.025+L652*0.025)</f>
        <v/>
      </c>
      <c r="P652" s="20">
        <f>32</f>
        <v/>
      </c>
      <c r="Q652" s="20">
        <f>J652+L652+N652+O652-P652-M652</f>
        <v/>
      </c>
    </row>
    <row r="653">
      <c r="A653" s="19" t="inlineStr">
        <is>
          <t>6.5-6.11</t>
        </is>
      </c>
      <c r="B653" s="19" t="inlineStr">
        <is>
          <t>PO-128-16821980867191076</t>
        </is>
      </c>
      <c r="C653" s="19" t="inlineStr">
        <is>
          <t>Delivered</t>
        </is>
      </c>
      <c r="D653" s="19" t="inlineStr">
        <is>
          <t>128-16821938924151076</t>
        </is>
      </c>
      <c r="E653" s="19" t="inlineStr">
        <is>
          <t>Delivered</t>
        </is>
      </c>
      <c r="F653" s="19" t="inlineStr">
        <is>
          <t>BS-09</t>
        </is>
      </c>
      <c r="G653" s="19" t="inlineStr">
        <is>
          <t>Altavoz de barra para PC con iluminación RGB, sonido de alta fidelidad y múltiples conexiones: Bluetooth, radio FM, USB, TF, AUX y TWS. Ideal para juegos, reuniones y cine en casa.</t>
        </is>
      </c>
      <c r="H653" s="19" t="inlineStr">
        <is>
          <t>NEGRO</t>
        </is>
      </c>
      <c r="I653" s="19" t="n">
        <v>1</v>
      </c>
      <c r="J653" s="20" t="n">
        <v>117.99</v>
      </c>
      <c r="K653" s="20" t="n">
        <v>146.36</v>
      </c>
      <c r="L653" s="20" t="n">
        <v>25.86</v>
      </c>
      <c r="M653" s="20" t="n">
        <v>0</v>
      </c>
      <c r="N653" s="20">
        <f>K653*0.08+L653*0.08</f>
        <v/>
      </c>
      <c r="O653" s="20">
        <f>-(K653*0.025+L653*0.025)</f>
        <v/>
      </c>
      <c r="P653" s="20">
        <f>32</f>
        <v/>
      </c>
      <c r="Q653" s="20">
        <f>J653+L653+N653+O653-P653-M653</f>
        <v/>
      </c>
    </row>
    <row r="654">
      <c r="A654" s="19" t="inlineStr">
        <is>
          <t>6.5-6.11</t>
        </is>
      </c>
      <c r="B654" s="19" t="inlineStr">
        <is>
          <t>PO-128-16912183419512650</t>
        </is>
      </c>
      <c r="C654" s="19" t="inlineStr">
        <is>
          <t>Delivered</t>
        </is>
      </c>
      <c r="D654" s="19" t="inlineStr">
        <is>
          <t>128-16912204391032650</t>
        </is>
      </c>
      <c r="E654" s="19" t="inlineStr">
        <is>
          <t>Delivered</t>
        </is>
      </c>
      <c r="F654" s="19" t="inlineStr">
        <is>
          <t>BS-01</t>
        </is>
      </c>
      <c r="G65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4" s="19" t="inlineStr">
        <is>
          <t>BS-01</t>
        </is>
      </c>
      <c r="I654" s="19" t="n">
        <v>1</v>
      </c>
      <c r="J654" s="20" t="n">
        <v>218.99</v>
      </c>
      <c r="K654" s="20" t="n">
        <v>257.59</v>
      </c>
      <c r="L654" s="20" t="n">
        <v>25.86</v>
      </c>
      <c r="M654" s="20" t="n">
        <v>0</v>
      </c>
      <c r="N654" s="20">
        <f>K654*0.08+L654*0.08</f>
        <v/>
      </c>
      <c r="O654" s="20">
        <f>-(K654*0.025+L654*0.025)</f>
        <v/>
      </c>
      <c r="P654" s="20">
        <f>32</f>
        <v/>
      </c>
      <c r="Q654" s="20">
        <f>J654+L654+N654+O654-P654-M654</f>
        <v/>
      </c>
    </row>
    <row r="655">
      <c r="A655" s="19" t="inlineStr">
        <is>
          <t>6.5-6.11</t>
        </is>
      </c>
      <c r="B655" s="19" t="inlineStr">
        <is>
          <t>PO-128-16720898376311742</t>
        </is>
      </c>
      <c r="C655" s="19" t="inlineStr">
        <is>
          <t>Delivered</t>
        </is>
      </c>
      <c r="D655" s="19" t="inlineStr">
        <is>
          <t>128-16720866919031742</t>
        </is>
      </c>
      <c r="E655" s="19" t="inlineStr">
        <is>
          <t>Delivered</t>
        </is>
      </c>
      <c r="F655" s="19" t="inlineStr">
        <is>
          <t>BS-01</t>
        </is>
      </c>
      <c r="G65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5" s="19" t="inlineStr">
        <is>
          <t>BS-01</t>
        </is>
      </c>
      <c r="I655" s="19" t="n">
        <v>1</v>
      </c>
      <c r="J655" s="20" t="n">
        <v>218.99</v>
      </c>
      <c r="K655" s="20" t="n">
        <v>257.59</v>
      </c>
      <c r="L655" s="20" t="n">
        <v>25.86</v>
      </c>
      <c r="M655" s="20" t="n">
        <v>0</v>
      </c>
      <c r="N655" s="20">
        <f>K655*0.08+L655*0.08</f>
        <v/>
      </c>
      <c r="O655" s="20">
        <f>-(K655*0.025+L655*0.025)</f>
        <v/>
      </c>
      <c r="P655" s="20">
        <f>32</f>
        <v/>
      </c>
      <c r="Q655" s="20">
        <f>J655+L655+N655+O655-P655-M655</f>
        <v/>
      </c>
    </row>
    <row r="656">
      <c r="A656" s="19" t="inlineStr">
        <is>
          <t>6.5-6.11</t>
        </is>
      </c>
      <c r="B656" s="19" t="inlineStr">
        <is>
          <t>PO-128-16771942226551310</t>
        </is>
      </c>
      <c r="C656" s="19" t="inlineStr">
        <is>
          <t>Delivered</t>
        </is>
      </c>
      <c r="D656" s="19" t="inlineStr">
        <is>
          <t>128-16771994655351310</t>
        </is>
      </c>
      <c r="E656" s="19" t="inlineStr">
        <is>
          <t>Delivered</t>
        </is>
      </c>
      <c r="F656" s="19" t="inlineStr">
        <is>
          <t>BS-01</t>
        </is>
      </c>
      <c r="G65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6" s="19" t="inlineStr">
        <is>
          <t>BS-01</t>
        </is>
      </c>
      <c r="I656" s="19" t="n">
        <v>1</v>
      </c>
      <c r="J656" s="20" t="n">
        <v>218.99</v>
      </c>
      <c r="K656" s="20" t="n">
        <v>257.59</v>
      </c>
      <c r="L656" s="20" t="n">
        <v>25.86</v>
      </c>
      <c r="M656" s="20" t="n">
        <v>0</v>
      </c>
      <c r="N656" s="20">
        <f>K656*0.08+L656*0.08</f>
        <v/>
      </c>
      <c r="O656" s="20">
        <f>-(K656*0.025+L656*0.025)</f>
        <v/>
      </c>
      <c r="P656" s="20">
        <f>32</f>
        <v/>
      </c>
      <c r="Q656" s="20">
        <f>J656+L656+N656+O656-P656-M656</f>
        <v/>
      </c>
    </row>
    <row r="657">
      <c r="A657" s="19" t="inlineStr">
        <is>
          <t>6.5-6.11</t>
        </is>
      </c>
      <c r="B657" s="19" t="inlineStr">
        <is>
          <t>PO-128-16898363146872796</t>
        </is>
      </c>
      <c r="C657" s="19" t="inlineStr">
        <is>
          <t>Delivered</t>
        </is>
      </c>
      <c r="D657" s="19" t="inlineStr">
        <is>
          <t>128-16898415575672796</t>
        </is>
      </c>
      <c r="E657" s="19" t="inlineStr">
        <is>
          <t>Delivered</t>
        </is>
      </c>
      <c r="F657" s="19" t="inlineStr">
        <is>
          <t>BS-01</t>
        </is>
      </c>
      <c r="G65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7" s="19" t="inlineStr">
        <is>
          <t>BS-01</t>
        </is>
      </c>
      <c r="I657" s="19" t="n">
        <v>1</v>
      </c>
      <c r="J657" s="20" t="n">
        <v>218.99</v>
      </c>
      <c r="K657" s="20" t="n">
        <v>231.73</v>
      </c>
      <c r="L657" s="20" t="n">
        <v>25.86</v>
      </c>
      <c r="M657" s="20" t="n">
        <v>0</v>
      </c>
      <c r="N657" s="20">
        <f>K657*0.08+L657*0.08</f>
        <v/>
      </c>
      <c r="O657" s="20">
        <f>-(K657*0.025+L657*0.025)</f>
        <v/>
      </c>
      <c r="P657" s="20">
        <f>32</f>
        <v/>
      </c>
      <c r="Q657" s="20">
        <f>J657+L657+N657+O657-P657-M657</f>
        <v/>
      </c>
    </row>
    <row r="658">
      <c r="A658" s="19" t="inlineStr">
        <is>
          <t>6.5-6.11</t>
        </is>
      </c>
      <c r="B658" s="19" t="inlineStr">
        <is>
          <t>PO-128-16860479488632830</t>
        </is>
      </c>
      <c r="C658" s="19" t="inlineStr">
        <is>
          <t>Delivered</t>
        </is>
      </c>
      <c r="D658" s="19" t="inlineStr">
        <is>
          <t>128-16860521431672830</t>
        </is>
      </c>
      <c r="E658" s="19" t="inlineStr">
        <is>
          <t>Delivered</t>
        </is>
      </c>
      <c r="F658" s="19" t="inlineStr">
        <is>
          <t>BS-01</t>
        </is>
      </c>
      <c r="G65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8" s="19" t="inlineStr">
        <is>
          <t>BS-01</t>
        </is>
      </c>
      <c r="I658" s="19" t="n">
        <v>1</v>
      </c>
      <c r="J658" s="20" t="n">
        <v>218.99</v>
      </c>
      <c r="K658" s="20" t="n">
        <v>214.49</v>
      </c>
      <c r="L658" s="20" t="n">
        <v>25.86</v>
      </c>
      <c r="M658" s="20" t="n">
        <v>0</v>
      </c>
      <c r="N658" s="20">
        <f>K658*0.08+L658*0.08</f>
        <v/>
      </c>
      <c r="O658" s="20">
        <f>-(K658*0.025+L658*0.025)</f>
        <v/>
      </c>
      <c r="P658" s="20">
        <f>32</f>
        <v/>
      </c>
      <c r="Q658" s="20">
        <f>J658+L658+N658+O658-P658-M658</f>
        <v/>
      </c>
    </row>
    <row r="659">
      <c r="A659" s="19" t="inlineStr">
        <is>
          <t>6.5-6.11</t>
        </is>
      </c>
      <c r="B659" s="19" t="inlineStr">
        <is>
          <t>PO-128-16596139889270502</t>
        </is>
      </c>
      <c r="C659" s="19" t="inlineStr">
        <is>
          <t>Delivered</t>
        </is>
      </c>
      <c r="D659" s="19" t="inlineStr">
        <is>
          <t>128-16596160860790502</t>
        </is>
      </c>
      <c r="E659" s="19" t="inlineStr">
        <is>
          <t>Delivered</t>
        </is>
      </c>
      <c r="F659" s="19" t="inlineStr">
        <is>
          <t>IE03CB</t>
        </is>
      </c>
      <c r="G659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659" s="19" t="inlineStr">
        <is>
          <t>BLANCO</t>
        </is>
      </c>
      <c r="I659" s="19" t="n">
        <v>1</v>
      </c>
      <c r="J659" s="20" t="n">
        <v>40</v>
      </c>
      <c r="K659" s="20" t="n">
        <v>68.72</v>
      </c>
      <c r="L659" s="20" t="n">
        <v>25.86</v>
      </c>
      <c r="M659" s="20" t="n">
        <v>0</v>
      </c>
      <c r="N659" s="20">
        <f>K659*0.08+L659*0.08</f>
        <v/>
      </c>
      <c r="O659" s="20">
        <f>-(K659*0.025+L659*0.025)</f>
        <v/>
      </c>
      <c r="P659" s="20">
        <f>32</f>
        <v/>
      </c>
      <c r="Q659" s="20">
        <f>J659+L659+N659+O659-P659-M659</f>
        <v/>
      </c>
    </row>
    <row r="660">
      <c r="A660" s="19" t="inlineStr">
        <is>
          <t>6.5-6.11</t>
        </is>
      </c>
      <c r="B660" s="19" t="inlineStr">
        <is>
          <t>PO-128-16639910759030243</t>
        </is>
      </c>
      <c r="C660" s="19" t="inlineStr">
        <is>
          <t>Delivered</t>
        </is>
      </c>
      <c r="D660" s="19" t="inlineStr">
        <is>
          <t>128-16639963187830243</t>
        </is>
      </c>
      <c r="E660" s="19" t="inlineStr">
        <is>
          <t>Delivered</t>
        </is>
      </c>
      <c r="F660" s="19" t="inlineStr">
        <is>
          <t>BS-01</t>
        </is>
      </c>
      <c r="G66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0" s="19" t="inlineStr">
        <is>
          <t>BS-01</t>
        </is>
      </c>
      <c r="I660" s="19" t="n">
        <v>1</v>
      </c>
      <c r="J660" s="20" t="n">
        <v>218.99</v>
      </c>
      <c r="K660" s="20" t="n">
        <v>214.49</v>
      </c>
      <c r="L660" s="20" t="n">
        <v>25.86</v>
      </c>
      <c r="M660" s="20" t="n">
        <v>0</v>
      </c>
      <c r="N660" s="20">
        <f>K660*0.08+L660*0.08</f>
        <v/>
      </c>
      <c r="O660" s="20">
        <f>-(K660*0.025+L660*0.025)</f>
        <v/>
      </c>
      <c r="P660" s="20">
        <f>32</f>
        <v/>
      </c>
      <c r="Q660" s="20">
        <f>J660+L660+N660+O660-P660-M660</f>
        <v/>
      </c>
    </row>
    <row r="661">
      <c r="A661" s="19" t="inlineStr">
        <is>
          <t>6.5-6.11</t>
        </is>
      </c>
      <c r="B661" s="19" t="inlineStr">
        <is>
          <t>PO-128-16991182817912053</t>
        </is>
      </c>
      <c r="C661" s="19" t="inlineStr">
        <is>
          <t>Delivered</t>
        </is>
      </c>
      <c r="D661" s="19" t="inlineStr">
        <is>
          <t>128-16991224760952053</t>
        </is>
      </c>
      <c r="E661" s="19" t="inlineStr">
        <is>
          <t>Delivered</t>
        </is>
      </c>
      <c r="F661" s="19" t="inlineStr">
        <is>
          <t>BS-01</t>
        </is>
      </c>
      <c r="G66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1" s="19" t="inlineStr">
        <is>
          <t>BS-01</t>
        </is>
      </c>
      <c r="I661" s="19" t="n">
        <v>1</v>
      </c>
      <c r="J661" s="20" t="n">
        <v>218.99</v>
      </c>
      <c r="K661" s="20" t="n">
        <v>257.59</v>
      </c>
      <c r="L661" s="20" t="n">
        <v>25.86</v>
      </c>
      <c r="M661" s="20" t="n">
        <v>0</v>
      </c>
      <c r="N661" s="20">
        <f>K661*0.08+L661*0.08</f>
        <v/>
      </c>
      <c r="O661" s="20">
        <f>-(K661*0.025+L661*0.025)</f>
        <v/>
      </c>
      <c r="P661" s="20">
        <f>32</f>
        <v/>
      </c>
      <c r="Q661" s="20">
        <f>J661+L661+N661+O661-P661-M661</f>
        <v/>
      </c>
    </row>
    <row r="662">
      <c r="A662" s="19" t="inlineStr">
        <is>
          <t>6.5-6.11</t>
        </is>
      </c>
      <c r="B662" s="19" t="inlineStr">
        <is>
          <t>PO-128-16955476542072392</t>
        </is>
      </c>
      <c r="C662" s="19" t="inlineStr">
        <is>
          <t>Delivered</t>
        </is>
      </c>
      <c r="D662" s="19" t="inlineStr">
        <is>
          <t>128-16955510620792392</t>
        </is>
      </c>
      <c r="E662" s="19" t="inlineStr">
        <is>
          <t>Delivered</t>
        </is>
      </c>
      <c r="F662" s="19" t="inlineStr">
        <is>
          <t>BS-09</t>
        </is>
      </c>
      <c r="G662" s="19" t="inlineStr">
        <is>
          <t>Altavoz de barra para PC con iluminación RGB, sonido de alta fidelidad y múltiples conexiones: Bluetooth, radio FM, USB, TF, AUX y TWS. Ideal para juegos, reuniones y cine en casa.</t>
        </is>
      </c>
      <c r="H662" s="19" t="inlineStr">
        <is>
          <t>NEGRO</t>
        </is>
      </c>
      <c r="I662" s="19" t="n">
        <v>1</v>
      </c>
      <c r="J662" s="20" t="n">
        <v>117.99</v>
      </c>
      <c r="K662" s="20" t="n">
        <v>124.41</v>
      </c>
      <c r="L662" s="20" t="n">
        <v>25.86</v>
      </c>
      <c r="M662" s="20" t="n">
        <v>0</v>
      </c>
      <c r="N662" s="20">
        <f>K662*0.08+L662*0.08</f>
        <v/>
      </c>
      <c r="O662" s="20">
        <f>-(K662*0.025+L662*0.025)</f>
        <v/>
      </c>
      <c r="P662" s="20">
        <f>32</f>
        <v/>
      </c>
      <c r="Q662" s="20">
        <f>J662+L662+N662+O662-P662-M662</f>
        <v/>
      </c>
    </row>
    <row r="663">
      <c r="A663" s="19" t="inlineStr">
        <is>
          <t>6.5-6.11</t>
        </is>
      </c>
      <c r="B663" s="19" t="inlineStr">
        <is>
          <t>PO-128-16713351419511725</t>
        </is>
      </c>
      <c r="C663" s="19" t="inlineStr">
        <is>
          <t>Delivered</t>
        </is>
      </c>
      <c r="D663" s="19" t="inlineStr">
        <is>
          <t>128-16713427441271725</t>
        </is>
      </c>
      <c r="E663" s="19" t="inlineStr">
        <is>
          <t>Delivered</t>
        </is>
      </c>
      <c r="F663" s="19" t="inlineStr">
        <is>
          <t>S-10012N</t>
        </is>
      </c>
      <c r="G663" s="19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H663" s="19" t="inlineStr">
        <is>
          <t>negro</t>
        </is>
      </c>
      <c r="I663" s="19" t="n">
        <v>1</v>
      </c>
      <c r="J663" s="20" t="n">
        <v>250</v>
      </c>
      <c r="K663" s="20" t="n">
        <v>302.8</v>
      </c>
      <c r="L663" s="20" t="n">
        <v>0</v>
      </c>
      <c r="M663" s="20" t="n">
        <v>0</v>
      </c>
      <c r="N663" s="20">
        <f>K663*0.08+L663*0.08</f>
        <v/>
      </c>
      <c r="O663" s="20">
        <f>-(K663*0.025+L663*0.025)</f>
        <v/>
      </c>
      <c r="P663" s="20">
        <f>32</f>
        <v/>
      </c>
      <c r="Q663" s="20">
        <f>J663+L663+N663+O663-P663-M663</f>
        <v/>
      </c>
    </row>
    <row r="664">
      <c r="A664" s="19" t="inlineStr">
        <is>
          <t>6.5-6.11</t>
        </is>
      </c>
      <c r="B664" s="19" t="inlineStr">
        <is>
          <t>PO-128-05866935601272823</t>
        </is>
      </c>
      <c r="C664" s="19" t="inlineStr">
        <is>
          <t>Delivered</t>
        </is>
      </c>
      <c r="D664" s="19" t="inlineStr">
        <is>
          <t>128-05866956572792823</t>
        </is>
      </c>
      <c r="E664" s="19" t="inlineStr">
        <is>
          <t>Delivered</t>
        </is>
      </c>
      <c r="F664" s="19" t="inlineStr">
        <is>
          <t>BS-01</t>
        </is>
      </c>
      <c r="G66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4" s="19" t="inlineStr">
        <is>
          <t>BS-01</t>
        </is>
      </c>
      <c r="I664" s="19" t="n">
        <v>1</v>
      </c>
      <c r="J664" s="20" t="n">
        <v>218.99</v>
      </c>
      <c r="K664" s="20" t="n">
        <v>257.59</v>
      </c>
      <c r="L664" s="20" t="n">
        <v>25.86</v>
      </c>
      <c r="M664" s="20" t="n">
        <v>0</v>
      </c>
      <c r="N664" s="20">
        <f>K664*0.08+L664*0.08</f>
        <v/>
      </c>
      <c r="O664" s="20">
        <f>-(K664*0.025+L664*0.025)</f>
        <v/>
      </c>
      <c r="P664" s="20">
        <f>32</f>
        <v/>
      </c>
      <c r="Q664" s="20">
        <f>J664+L664+N664+O664-P664-M664</f>
        <v/>
      </c>
    </row>
    <row r="665">
      <c r="A665" s="19" t="inlineStr">
        <is>
          <t>6.5-6.11</t>
        </is>
      </c>
      <c r="B665" s="19" t="inlineStr">
        <is>
          <t>PO-128-05614157038710296</t>
        </is>
      </c>
      <c r="C665" s="19" t="inlineStr">
        <is>
          <t>Delivered</t>
        </is>
      </c>
      <c r="D665" s="19" t="inlineStr">
        <is>
          <t>128-05614115095670296</t>
        </is>
      </c>
      <c r="E665" s="19" t="inlineStr">
        <is>
          <t>Delivered</t>
        </is>
      </c>
      <c r="F665" s="19" t="inlineStr">
        <is>
          <t>BS-09</t>
        </is>
      </c>
      <c r="G665" s="19" t="inlineStr">
        <is>
          <t>Altavoz de barra para PC con iluminación RGB, sonido de alta fidelidad y múltiples conexiones: Bluetooth, radio FM, USB, TF, AUX y TWS. Ideal para juegos, reuniones y cine en casa.</t>
        </is>
      </c>
      <c r="H665" s="19" t="inlineStr">
        <is>
          <t>NEGRO</t>
        </is>
      </c>
      <c r="I665" s="19" t="n">
        <v>1</v>
      </c>
      <c r="J665" s="20" t="n">
        <v>117.99</v>
      </c>
      <c r="K665" s="20" t="n">
        <v>124.41</v>
      </c>
      <c r="L665" s="20" t="n">
        <v>25.86</v>
      </c>
      <c r="M665" s="20" t="n">
        <v>0</v>
      </c>
      <c r="N665" s="20">
        <f>K665*0.08+L665*0.08</f>
        <v/>
      </c>
      <c r="O665" s="20">
        <f>-(K665*0.025+L665*0.025)</f>
        <v/>
      </c>
      <c r="P665" s="20">
        <f>32</f>
        <v/>
      </c>
      <c r="Q665" s="20">
        <f>J665+L665+N665+O665-P665-M665</f>
        <v/>
      </c>
    </row>
    <row r="666">
      <c r="A666" s="19" t="inlineStr">
        <is>
          <t>6.5-6.11</t>
        </is>
      </c>
      <c r="B666" s="19" t="inlineStr">
        <is>
          <t>PO-128-05768951498871487</t>
        </is>
      </c>
      <c r="C666" s="19" t="inlineStr">
        <is>
          <t>Delivered</t>
        </is>
      </c>
      <c r="D666" s="19" t="inlineStr">
        <is>
          <t>128-05768972470391487</t>
        </is>
      </c>
      <c r="E666" s="19" t="inlineStr">
        <is>
          <t>Delivered</t>
        </is>
      </c>
      <c r="F666" s="19" t="inlineStr">
        <is>
          <t>BS-01</t>
        </is>
      </c>
      <c r="G66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6" s="19" t="inlineStr">
        <is>
          <t>BS-01</t>
        </is>
      </c>
      <c r="I666" s="19" t="n">
        <v>1</v>
      </c>
      <c r="J666" s="20" t="n">
        <v>218.99</v>
      </c>
      <c r="K666" s="20" t="n">
        <v>257.59</v>
      </c>
      <c r="L666" s="20" t="n">
        <v>25.86</v>
      </c>
      <c r="M666" s="20" t="n">
        <v>0</v>
      </c>
      <c r="N666" s="20">
        <f>K666*0.08+L666*0.08</f>
        <v/>
      </c>
      <c r="O666" s="20">
        <f>-(K666*0.025+L666*0.025)</f>
        <v/>
      </c>
      <c r="P666" s="20">
        <f>32</f>
        <v/>
      </c>
      <c r="Q666" s="20">
        <f>J666+L666+N666+O666-P666-M666</f>
        <v/>
      </c>
    </row>
    <row r="667">
      <c r="A667" s="19" t="inlineStr">
        <is>
          <t>6.5-6.11</t>
        </is>
      </c>
      <c r="B667" s="19" t="inlineStr">
        <is>
          <t>PO-128-05784129756791330</t>
        </is>
      </c>
      <c r="C667" s="19" t="inlineStr">
        <is>
          <t>Delivered</t>
        </is>
      </c>
      <c r="D667" s="19" t="inlineStr">
        <is>
          <t>128-05784266071671330</t>
        </is>
      </c>
      <c r="E667" s="19" t="inlineStr">
        <is>
          <t>Delivered</t>
        </is>
      </c>
      <c r="F667" s="19" t="inlineStr">
        <is>
          <t>BS-01</t>
        </is>
      </c>
      <c r="G66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7" s="19" t="inlineStr">
        <is>
          <t>BS-01</t>
        </is>
      </c>
      <c r="I667" s="19" t="n">
        <v>1</v>
      </c>
      <c r="J667" s="20" t="n">
        <v>218.99</v>
      </c>
      <c r="K667" s="20" t="n">
        <v>257.59</v>
      </c>
      <c r="L667" s="20" t="n">
        <v>25.86</v>
      </c>
      <c r="M667" s="20" t="n">
        <v>0</v>
      </c>
      <c r="N667" s="20">
        <f>K667*0.08+L667*0.08</f>
        <v/>
      </c>
      <c r="O667" s="20">
        <f>-(K667*0.025+L667*0.025)</f>
        <v/>
      </c>
      <c r="P667" s="20">
        <f>32</f>
        <v/>
      </c>
      <c r="Q667" s="20">
        <f>J667+L667+N667+O667-P667-M667</f>
        <v/>
      </c>
    </row>
    <row r="668">
      <c r="A668" s="19" t="inlineStr">
        <is>
          <t>6.5-6.11</t>
        </is>
      </c>
      <c r="B668" s="19" t="inlineStr">
        <is>
          <t>PO-128-06176842481273150</t>
        </is>
      </c>
      <c r="C668" s="19" t="inlineStr">
        <is>
          <t>Delivered</t>
        </is>
      </c>
      <c r="D668" s="19" t="inlineStr">
        <is>
          <t>128-06176800538233150</t>
        </is>
      </c>
      <c r="E668" s="19" t="inlineStr">
        <is>
          <t>Delivered</t>
        </is>
      </c>
      <c r="F668" s="19" t="inlineStr">
        <is>
          <t>BS-01</t>
        </is>
      </c>
      <c r="G66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8" s="19" t="inlineStr">
        <is>
          <t>BS-01</t>
        </is>
      </c>
      <c r="I668" s="19" t="n">
        <v>1</v>
      </c>
      <c r="J668" s="20" t="n">
        <v>218.99</v>
      </c>
      <c r="K668" s="20" t="n">
        <v>257.59</v>
      </c>
      <c r="L668" s="20" t="n">
        <v>25.86</v>
      </c>
      <c r="M668" s="20" t="n">
        <v>0</v>
      </c>
      <c r="N668" s="20">
        <f>K668*0.08+L668*0.08</f>
        <v/>
      </c>
      <c r="O668" s="20">
        <f>-(K668*0.025+L668*0.025)</f>
        <v/>
      </c>
      <c r="P668" s="20">
        <f>32</f>
        <v/>
      </c>
      <c r="Q668" s="20">
        <f>J668+L668+N668+O668-P668-M668</f>
        <v/>
      </c>
    </row>
    <row r="669">
      <c r="A669" s="19" t="inlineStr">
        <is>
          <t>6.5-6.11</t>
        </is>
      </c>
      <c r="B669" s="19" t="inlineStr">
        <is>
          <t>PO-128-05550028419190678</t>
        </is>
      </c>
      <c r="C669" s="19" t="inlineStr">
        <is>
          <t>Delivered</t>
        </is>
      </c>
      <c r="D669" s="19" t="inlineStr">
        <is>
          <t>128-05550017933430678</t>
        </is>
      </c>
      <c r="E669" s="19" t="inlineStr">
        <is>
          <t>Delivered</t>
        </is>
      </c>
      <c r="F669" s="19" t="inlineStr">
        <is>
          <t>BS-01</t>
        </is>
      </c>
      <c r="G66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9" s="19" t="inlineStr">
        <is>
          <t>BS-01</t>
        </is>
      </c>
      <c r="I669" s="19" t="n">
        <v>1</v>
      </c>
      <c r="J669" s="20" t="n">
        <v>218.99</v>
      </c>
      <c r="K669" s="20" t="n">
        <v>257.59</v>
      </c>
      <c r="L669" s="20" t="n">
        <v>25.86</v>
      </c>
      <c r="M669" s="20" t="n">
        <v>0</v>
      </c>
      <c r="N669" s="20">
        <f>K669*0.08+L669*0.08</f>
        <v/>
      </c>
      <c r="O669" s="20">
        <f>-(K669*0.025+L669*0.025)</f>
        <v/>
      </c>
      <c r="P669" s="20">
        <f>32</f>
        <v/>
      </c>
      <c r="Q669" s="20">
        <f>J669+L669+N669+O669-P669-M669</f>
        <v/>
      </c>
    </row>
    <row r="670">
      <c r="A670" s="19" t="inlineStr">
        <is>
          <t>6.5-6.11</t>
        </is>
      </c>
      <c r="B670" s="19" t="inlineStr">
        <is>
          <t>PO-128-05764819231351447</t>
        </is>
      </c>
      <c r="C670" s="19" t="inlineStr">
        <is>
          <t>Delivered</t>
        </is>
      </c>
      <c r="D670" s="19" t="inlineStr">
        <is>
          <t>128-05764902994551447</t>
        </is>
      </c>
      <c r="E670" s="19" t="inlineStr">
        <is>
          <t>Delivered</t>
        </is>
      </c>
      <c r="F670" s="19" t="inlineStr">
        <is>
          <t>BS-01</t>
        </is>
      </c>
      <c r="G67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0" s="19" t="inlineStr">
        <is>
          <t>BS-01</t>
        </is>
      </c>
      <c r="I670" s="19" t="n">
        <v>1</v>
      </c>
      <c r="J670" s="20" t="n">
        <v>219</v>
      </c>
      <c r="K670" s="20" t="n">
        <v>217.72</v>
      </c>
      <c r="L670" s="20" t="n">
        <v>25.86</v>
      </c>
      <c r="M670" s="20" t="n">
        <v>0</v>
      </c>
      <c r="N670" s="20">
        <f>K670*0.08+L670*0.08</f>
        <v/>
      </c>
      <c r="O670" s="20">
        <f>-(K670*0.025+L670*0.025)</f>
        <v/>
      </c>
      <c r="P670" s="20">
        <f>32</f>
        <v/>
      </c>
      <c r="Q670" s="20">
        <f>J670+L670+N670+O670-P670-M670</f>
        <v/>
      </c>
    </row>
    <row r="671">
      <c r="A671" s="19" t="inlineStr">
        <is>
          <t>6.5-6.11</t>
        </is>
      </c>
      <c r="B671" s="19" t="inlineStr">
        <is>
          <t>PO-128-06105329101433512</t>
        </is>
      </c>
      <c r="C671" s="19" t="inlineStr">
        <is>
          <t>Delivered</t>
        </is>
      </c>
      <c r="D671" s="19" t="inlineStr">
        <is>
          <t>128-06105339587193512</t>
        </is>
      </c>
      <c r="E671" s="19" t="inlineStr">
        <is>
          <t>Delivered</t>
        </is>
      </c>
      <c r="F671" s="19" t="inlineStr">
        <is>
          <t>IE03CN</t>
        </is>
      </c>
      <c r="G671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671" s="19" t="inlineStr">
        <is>
          <t>NEGRO</t>
        </is>
      </c>
      <c r="I671" s="19" t="n">
        <v>1</v>
      </c>
      <c r="J671" s="20" t="n">
        <v>40</v>
      </c>
      <c r="K671" s="20" t="n">
        <v>68.72</v>
      </c>
      <c r="L671" s="20" t="n">
        <v>25.86</v>
      </c>
      <c r="M671" s="20" t="n">
        <v>0</v>
      </c>
      <c r="N671" s="20">
        <f>K671*0.08+L671*0.08</f>
        <v/>
      </c>
      <c r="O671" s="20">
        <f>-(K671*0.025+L671*0.025)</f>
        <v/>
      </c>
      <c r="P671" s="20">
        <f>32</f>
        <v/>
      </c>
      <c r="Q671" s="20">
        <f>J671+L671+N671+O671-P671-M671</f>
        <v/>
      </c>
    </row>
    <row r="672">
      <c r="A672" s="19" t="inlineStr">
        <is>
          <t>6.5-6.11</t>
        </is>
      </c>
      <c r="B672" s="19" t="inlineStr">
        <is>
          <t>PO-128-05636324997750165</t>
        </is>
      </c>
      <c r="C672" s="19" t="inlineStr">
        <is>
          <t>Delivered</t>
        </is>
      </c>
      <c r="D672" s="19" t="inlineStr">
        <is>
          <t>128-05636461312630165</t>
        </is>
      </c>
      <c r="E672" s="19" t="inlineStr">
        <is>
          <t>Delivered</t>
        </is>
      </c>
      <c r="F672" s="19" t="inlineStr">
        <is>
          <t>BS-01</t>
        </is>
      </c>
      <c r="G67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2" s="19" t="inlineStr">
        <is>
          <t>BS-01</t>
        </is>
      </c>
      <c r="I672" s="19" t="n">
        <v>1</v>
      </c>
      <c r="J672" s="20" t="n">
        <v>219</v>
      </c>
      <c r="K672" s="20" t="n">
        <v>257.6</v>
      </c>
      <c r="L672" s="20" t="n">
        <v>25.86</v>
      </c>
      <c r="M672" s="20" t="n">
        <v>0</v>
      </c>
      <c r="N672" s="20">
        <f>K672*0.08+L672*0.08</f>
        <v/>
      </c>
      <c r="O672" s="20">
        <f>-(K672*0.025+L672*0.025)</f>
        <v/>
      </c>
      <c r="P672" s="20">
        <f>32</f>
        <v/>
      </c>
      <c r="Q672" s="20">
        <f>J672+L672+N672+O672-P672-M672</f>
        <v/>
      </c>
    </row>
    <row r="673">
      <c r="A673" s="19" t="inlineStr">
        <is>
          <t>6.5-6.11</t>
        </is>
      </c>
      <c r="B673" s="19" t="inlineStr">
        <is>
          <t>PO-128-06052155146873959</t>
        </is>
      </c>
      <c r="C673" s="19" t="inlineStr">
        <is>
          <t>Delivered</t>
        </is>
      </c>
      <c r="D673" s="19" t="inlineStr">
        <is>
          <t>128-06052176118393959</t>
        </is>
      </c>
      <c r="E673" s="19" t="inlineStr">
        <is>
          <t>Delivered</t>
        </is>
      </c>
      <c r="F673" s="19" t="inlineStr">
        <is>
          <t>BS-01</t>
        </is>
      </c>
      <c r="G67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3" s="19" t="inlineStr">
        <is>
          <t>BS-01</t>
        </is>
      </c>
      <c r="I673" s="19" t="n">
        <v>1</v>
      </c>
      <c r="J673" s="20" t="n">
        <v>219</v>
      </c>
      <c r="K673" s="20" t="n">
        <v>206.08</v>
      </c>
      <c r="L673" s="20" t="n">
        <v>25.86</v>
      </c>
      <c r="M673" s="20" t="n">
        <v>0</v>
      </c>
      <c r="N673" s="20">
        <f>K673*0.08+L673*0.08</f>
        <v/>
      </c>
      <c r="O673" s="20">
        <f>-(K673*0.025+L673*0.025)</f>
        <v/>
      </c>
      <c r="P673" s="20">
        <f>32</f>
        <v/>
      </c>
      <c r="Q673" s="20">
        <f>J673+L673+N673+O673-P673-M673</f>
        <v/>
      </c>
    </row>
    <row r="674">
      <c r="A674" s="19" t="inlineStr">
        <is>
          <t>6.5-6.11</t>
        </is>
      </c>
      <c r="B674" s="19" t="inlineStr">
        <is>
          <t>PO-128-11146499082870024</t>
        </is>
      </c>
      <c r="C674" s="19" t="inlineStr">
        <is>
          <t>Delivered</t>
        </is>
      </c>
      <c r="D674" s="19" t="inlineStr">
        <is>
          <t>128-11146457139830024</t>
        </is>
      </c>
      <c r="E674" s="19" t="inlineStr">
        <is>
          <t>Delivered</t>
        </is>
      </c>
      <c r="F674" s="19" t="inlineStr">
        <is>
          <t>BS-09</t>
        </is>
      </c>
      <c r="G674" s="19" t="inlineStr">
        <is>
          <t>Altavoz de barra para PC con iluminación RGB, sonido de alta fidelidad y múltiples conexiones: Bluetooth, radio FM, USB, TF, AUX y TWS. Ideal para juegos, reuniones y cine en casa.</t>
        </is>
      </c>
      <c r="H674" s="19" t="inlineStr">
        <is>
          <t>NEGRO</t>
        </is>
      </c>
      <c r="I674" s="19" t="n">
        <v>1</v>
      </c>
      <c r="J674" s="20" t="n">
        <v>117.99</v>
      </c>
      <c r="K674" s="20" t="n">
        <v>146.36</v>
      </c>
      <c r="L674" s="20" t="n">
        <v>25.86</v>
      </c>
      <c r="M674" s="20" t="n">
        <v>0</v>
      </c>
      <c r="N674" s="20">
        <f>K674*0.08+L674*0.08</f>
        <v/>
      </c>
      <c r="O674" s="20">
        <f>-(K674*0.025+L674*0.025)</f>
        <v/>
      </c>
      <c r="P674" s="20">
        <f>32</f>
        <v/>
      </c>
      <c r="Q674" s="20">
        <f>J674+L674+N674+O674-P674-M674</f>
        <v/>
      </c>
    </row>
    <row r="675">
      <c r="A675" s="19" t="inlineStr">
        <is>
          <t>6.5-6.11</t>
        </is>
      </c>
      <c r="B675" s="19" t="inlineStr">
        <is>
          <t>PO-128-11484442010232298</t>
        </is>
      </c>
      <c r="C675" s="19" t="inlineStr">
        <is>
          <t>Delivered</t>
        </is>
      </c>
      <c r="D675" s="19" t="inlineStr">
        <is>
          <t>128-11484494439032298</t>
        </is>
      </c>
      <c r="E675" s="19" t="inlineStr">
        <is>
          <t>Delivered</t>
        </is>
      </c>
      <c r="F675" s="19" t="inlineStr">
        <is>
          <t>BS-01</t>
        </is>
      </c>
      <c r="G67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5" s="19" t="inlineStr">
        <is>
          <t>BS-01</t>
        </is>
      </c>
      <c r="I675" s="19" t="n">
        <v>1</v>
      </c>
      <c r="J675" s="20" t="n">
        <v>219</v>
      </c>
      <c r="K675" s="20" t="n">
        <v>214.5</v>
      </c>
      <c r="L675" s="20" t="n">
        <v>25.86</v>
      </c>
      <c r="M675" s="20" t="n">
        <v>0</v>
      </c>
      <c r="N675" s="20">
        <f>K675*0.08+L675*0.08</f>
        <v/>
      </c>
      <c r="O675" s="20">
        <f>-(K675*0.025+L675*0.025)</f>
        <v/>
      </c>
      <c r="P675" s="20">
        <f>32</f>
        <v/>
      </c>
      <c r="Q675" s="20">
        <f>J675+L675+N675+O675-P675-M675</f>
        <v/>
      </c>
    </row>
    <row r="676">
      <c r="A676" s="19" t="inlineStr">
        <is>
          <t>6.5-6.11</t>
        </is>
      </c>
      <c r="B676" s="19" t="inlineStr">
        <is>
          <t>PO-128-00061794478710750</t>
        </is>
      </c>
      <c r="C676" s="19" t="inlineStr">
        <is>
          <t>Delivered</t>
        </is>
      </c>
      <c r="D676" s="19" t="inlineStr">
        <is>
          <t>128-00061763021430750</t>
        </is>
      </c>
      <c r="E676" s="19" t="inlineStr">
        <is>
          <t>Delivered</t>
        </is>
      </c>
      <c r="F676" s="19" t="inlineStr">
        <is>
          <t>BS-01</t>
        </is>
      </c>
      <c r="G67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6" s="19" t="inlineStr">
        <is>
          <t>BS-01</t>
        </is>
      </c>
      <c r="I676" s="19" t="n">
        <v>1</v>
      </c>
      <c r="J676" s="20" t="n">
        <v>219</v>
      </c>
      <c r="K676" s="20" t="n">
        <v>257.6</v>
      </c>
      <c r="L676" s="20" t="n">
        <v>25.86</v>
      </c>
      <c r="M676" s="20" t="n">
        <v>0</v>
      </c>
      <c r="N676" s="20">
        <f>K676*0.08+L676*0.08</f>
        <v/>
      </c>
      <c r="O676" s="20">
        <f>-(K676*0.025+L676*0.025)</f>
        <v/>
      </c>
      <c r="P676" s="20">
        <f>32</f>
        <v/>
      </c>
      <c r="Q676" s="20">
        <f>J676+L676+N676+O676-P676-M676</f>
        <v/>
      </c>
    </row>
    <row r="677">
      <c r="A677" s="19" t="inlineStr">
        <is>
          <t>6.5-6.11</t>
        </is>
      </c>
      <c r="B677" s="19" t="inlineStr">
        <is>
          <t>PO-128-00333980145271112</t>
        </is>
      </c>
      <c r="C677" s="19" t="inlineStr">
        <is>
          <t>Delivered</t>
        </is>
      </c>
      <c r="D677" s="19" t="inlineStr">
        <is>
          <t>128-00334001116791112</t>
        </is>
      </c>
      <c r="E677" s="19" t="inlineStr">
        <is>
          <t>Delivered</t>
        </is>
      </c>
      <c r="F677" s="19" t="inlineStr">
        <is>
          <t>BS-01</t>
        </is>
      </c>
      <c r="G67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7" s="19" t="inlineStr">
        <is>
          <t>BS-01</t>
        </is>
      </c>
      <c r="I677" s="19" t="n">
        <v>1</v>
      </c>
      <c r="J677" s="20" t="n">
        <v>219</v>
      </c>
      <c r="K677" s="20" t="n">
        <v>257.6</v>
      </c>
      <c r="L677" s="20" t="n">
        <v>0</v>
      </c>
      <c r="M677" s="20" t="n">
        <v>257.6</v>
      </c>
      <c r="N677" s="20">
        <f>K677*0.08+L677*0.08</f>
        <v/>
      </c>
      <c r="O677" s="20">
        <f>-(K677*0.025+L677*0.025)</f>
        <v/>
      </c>
      <c r="P677" s="20">
        <f>32</f>
        <v/>
      </c>
      <c r="Q677" s="20">
        <f>J677+L677+N677+O677-P677-M677</f>
        <v/>
      </c>
    </row>
    <row r="678">
      <c r="A678" s="19" t="inlineStr">
        <is>
          <t>6.5-6.11</t>
        </is>
      </c>
      <c r="B678" s="19" t="inlineStr">
        <is>
          <t>PO-128-00642787195513433</t>
        </is>
      </c>
      <c r="C678" s="19" t="inlineStr">
        <is>
          <t>Delivered</t>
        </is>
      </c>
      <c r="D678" s="19" t="inlineStr">
        <is>
          <t>128-00642829138553433</t>
        </is>
      </c>
      <c r="E678" s="19" t="inlineStr">
        <is>
          <t>Delivered</t>
        </is>
      </c>
      <c r="F678" s="19" t="inlineStr">
        <is>
          <t>BS-01</t>
        </is>
      </c>
      <c r="G67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8" s="19" t="inlineStr">
        <is>
          <t>BS-01</t>
        </is>
      </c>
      <c r="I678" s="19" t="n">
        <v>1</v>
      </c>
      <c r="J678" s="20" t="n">
        <v>219</v>
      </c>
      <c r="K678" s="20" t="n">
        <v>218.96</v>
      </c>
      <c r="L678" s="20" t="n">
        <v>25.86</v>
      </c>
      <c r="M678" s="20" t="n">
        <v>0</v>
      </c>
      <c r="N678" s="20">
        <f>K678*0.08+L678*0.08</f>
        <v/>
      </c>
      <c r="O678" s="20">
        <f>-(K678*0.025+L678*0.025)</f>
        <v/>
      </c>
      <c r="P678" s="20">
        <f>32</f>
        <v/>
      </c>
      <c r="Q678" s="20">
        <f>J678+L678+N678+O678-P678-M678</f>
        <v/>
      </c>
    </row>
    <row r="679">
      <c r="A679" s="19" t="inlineStr">
        <is>
          <t>6.5-6.11</t>
        </is>
      </c>
      <c r="B679" s="19" t="inlineStr">
        <is>
          <t>PO-128-00014465731190968</t>
        </is>
      </c>
      <c r="C679" s="19" t="inlineStr">
        <is>
          <t>Delivered</t>
        </is>
      </c>
      <c r="D679" s="19" t="inlineStr">
        <is>
          <t>128-00014497188470968</t>
        </is>
      </c>
      <c r="E679" s="19" t="inlineStr">
        <is>
          <t>Delivered</t>
        </is>
      </c>
      <c r="F679" s="19" t="inlineStr">
        <is>
          <t>IE03CB</t>
        </is>
      </c>
      <c r="G679" s="19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679" s="19" t="inlineStr">
        <is>
          <t>BLANCO</t>
        </is>
      </c>
      <c r="I679" s="19" t="n">
        <v>1</v>
      </c>
      <c r="J679" s="20" t="n">
        <v>40</v>
      </c>
      <c r="K679" s="20" t="n">
        <v>54.98</v>
      </c>
      <c r="L679" s="20" t="n">
        <v>25.86</v>
      </c>
      <c r="M679" s="20" t="n">
        <v>0.01</v>
      </c>
      <c r="N679" s="20">
        <f>K679*0.08+L679*0.08</f>
        <v/>
      </c>
      <c r="O679" s="20">
        <f>-(K679*0.025+L679*0.025)</f>
        <v/>
      </c>
      <c r="P679" s="20">
        <f>32</f>
        <v/>
      </c>
      <c r="Q679" s="20">
        <f>J679+L679+N679+O679-P679-M679</f>
        <v/>
      </c>
    </row>
    <row r="680">
      <c r="A680" s="19" t="inlineStr">
        <is>
          <t>6.5-6.11</t>
        </is>
      </c>
      <c r="B680" s="19" t="inlineStr">
        <is>
          <t>PO-128-00391338588792690</t>
        </is>
      </c>
      <c r="C680" s="19" t="inlineStr">
        <is>
          <t>Delivered</t>
        </is>
      </c>
      <c r="D680" s="19" t="inlineStr">
        <is>
          <t>128-00391406746232690</t>
        </is>
      </c>
      <c r="E680" s="19" t="inlineStr">
        <is>
          <t>Delivered</t>
        </is>
      </c>
      <c r="F680" s="19" t="inlineStr">
        <is>
          <t>BS-01</t>
        </is>
      </c>
      <c r="G68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0" s="19" t="inlineStr">
        <is>
          <t>BS-01</t>
        </is>
      </c>
      <c r="I680" s="19" t="n">
        <v>1</v>
      </c>
      <c r="J680" s="20" t="n">
        <v>215</v>
      </c>
      <c r="K680" s="20" t="n">
        <v>215.57</v>
      </c>
      <c r="L680" s="20" t="n">
        <v>25.86</v>
      </c>
      <c r="M680" s="20" t="n">
        <v>0</v>
      </c>
      <c r="N680" s="20">
        <f>K680*0.08+L680*0.08</f>
        <v/>
      </c>
      <c r="O680" s="20">
        <f>-(K680*0.025+L680*0.025)</f>
        <v/>
      </c>
      <c r="P680" s="20">
        <f>32</f>
        <v/>
      </c>
      <c r="Q680" s="20">
        <f>J680+L680+N680+O680-P680-M680</f>
        <v/>
      </c>
    </row>
    <row r="681">
      <c r="A681" s="19" t="inlineStr">
        <is>
          <t>6.5-6.11</t>
        </is>
      </c>
      <c r="B681" s="19" t="inlineStr">
        <is>
          <t>PO-128-00001072026230920</t>
        </is>
      </c>
      <c r="C681" s="19" t="inlineStr">
        <is>
          <t>Delivered</t>
        </is>
      </c>
      <c r="D681" s="19" t="inlineStr">
        <is>
          <t>128-00001051054710920</t>
        </is>
      </c>
      <c r="E681" s="19" t="inlineStr">
        <is>
          <t>Delivered</t>
        </is>
      </c>
      <c r="F681" s="19" t="inlineStr">
        <is>
          <t>BS-01</t>
        </is>
      </c>
      <c r="G68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1" s="19" t="inlineStr">
        <is>
          <t>BS-01</t>
        </is>
      </c>
      <c r="I681" s="19" t="n">
        <v>1</v>
      </c>
      <c r="J681" s="20" t="n">
        <v>215</v>
      </c>
      <c r="K681" s="20" t="n">
        <v>253.6</v>
      </c>
      <c r="L681" s="20" t="n">
        <v>25.86</v>
      </c>
      <c r="M681" s="20" t="n">
        <v>0</v>
      </c>
      <c r="N681" s="20">
        <f>K681*0.08+L681*0.08</f>
        <v/>
      </c>
      <c r="O681" s="20">
        <f>-(K681*0.025+L681*0.025)</f>
        <v/>
      </c>
      <c r="P681" s="20">
        <f>32</f>
        <v/>
      </c>
      <c r="Q681" s="20">
        <f>J681+L681+N681+O681-P681-M681</f>
        <v/>
      </c>
    </row>
    <row r="682">
      <c r="A682" s="19" t="inlineStr">
        <is>
          <t>6.5-6.11</t>
        </is>
      </c>
      <c r="B682" s="19" t="inlineStr">
        <is>
          <t>PO-128-00143523922550201</t>
        </is>
      </c>
      <c r="C682" s="19" t="inlineStr">
        <is>
          <t>Delivered</t>
        </is>
      </c>
      <c r="D682" s="19" t="inlineStr">
        <is>
          <t>128-00143513436790201</t>
        </is>
      </c>
      <c r="E682" s="19" t="inlineStr">
        <is>
          <t>Delivered</t>
        </is>
      </c>
      <c r="F682" s="19" t="inlineStr">
        <is>
          <t>BS-01</t>
        </is>
      </c>
      <c r="G68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2" s="19" t="inlineStr">
        <is>
          <t>BS-01</t>
        </is>
      </c>
      <c r="I682" s="19" t="n">
        <v>1</v>
      </c>
      <c r="J682" s="20" t="n">
        <v>215</v>
      </c>
      <c r="K682" s="20" t="n">
        <v>190.52</v>
      </c>
      <c r="L682" s="20" t="n">
        <v>25.86</v>
      </c>
      <c r="M682" s="20" t="n">
        <v>0</v>
      </c>
      <c r="N682" s="20">
        <f>K682*0.08+L682*0.08</f>
        <v/>
      </c>
      <c r="O682" s="20">
        <f>-(K682*0.025+L682*0.025)</f>
        <v/>
      </c>
      <c r="P682" s="20">
        <f>32</f>
        <v/>
      </c>
      <c r="Q682" s="20">
        <f>J682+L682+N682+O682-P682-M682</f>
        <v/>
      </c>
    </row>
    <row r="683">
      <c r="A683" s="19" t="inlineStr">
        <is>
          <t>6.5-6.11</t>
        </is>
      </c>
      <c r="B683" s="19" t="inlineStr">
        <is>
          <t>PO-128-19346080937590497</t>
        </is>
      </c>
      <c r="C683" s="19" t="inlineStr">
        <is>
          <t>Delivered</t>
        </is>
      </c>
      <c r="D683" s="19" t="inlineStr">
        <is>
          <t>128-19346101909110497</t>
        </is>
      </c>
      <c r="E683" s="19" t="inlineStr">
        <is>
          <t>Delivered</t>
        </is>
      </c>
      <c r="F683" s="19" t="inlineStr">
        <is>
          <t>BS-01</t>
        </is>
      </c>
      <c r="G68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3" s="19" t="inlineStr">
        <is>
          <t>BS-01</t>
        </is>
      </c>
      <c r="I683" s="19" t="n">
        <v>1</v>
      </c>
      <c r="J683" s="20" t="n">
        <v>215</v>
      </c>
      <c r="K683" s="20" t="n">
        <v>253.6</v>
      </c>
      <c r="L683" s="20" t="n">
        <v>25.86</v>
      </c>
      <c r="M683" s="20" t="n">
        <v>0</v>
      </c>
      <c r="N683" s="20">
        <f>K683*0.08+L683*0.08</f>
        <v/>
      </c>
      <c r="O683" s="20">
        <f>-(K683*0.025+L683*0.025)</f>
        <v/>
      </c>
      <c r="P683" s="20">
        <f>32</f>
        <v/>
      </c>
      <c r="Q683" s="20">
        <f>J683+L683+N683+O683-P683-M683</f>
        <v/>
      </c>
    </row>
    <row r="684">
      <c r="A684" s="19" t="inlineStr">
        <is>
          <t>6.5-6.11</t>
        </is>
      </c>
      <c r="B684" s="19" t="inlineStr">
        <is>
          <t>PO-128-19502158920311423</t>
        </is>
      </c>
      <c r="C684" s="19" t="inlineStr">
        <is>
          <t>Delivered</t>
        </is>
      </c>
      <c r="D684" s="19" t="inlineStr">
        <is>
          <t>128-19502137948791423</t>
        </is>
      </c>
      <c r="E684" s="19" t="inlineStr">
        <is>
          <t>Delivered</t>
        </is>
      </c>
      <c r="F684" s="19" t="inlineStr">
        <is>
          <t>BS-01</t>
        </is>
      </c>
      <c r="G68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4" s="19" t="inlineStr">
        <is>
          <t>BS-01</t>
        </is>
      </c>
      <c r="I684" s="19" t="n">
        <v>1</v>
      </c>
      <c r="J684" s="20" t="n">
        <v>215</v>
      </c>
      <c r="K684" s="20" t="n">
        <v>253.6</v>
      </c>
      <c r="L684" s="20" t="n">
        <v>25.86</v>
      </c>
      <c r="M684" s="20" t="n">
        <v>0</v>
      </c>
      <c r="N684" s="20">
        <f>K684*0.08+L684*0.08</f>
        <v/>
      </c>
      <c r="O684" s="20">
        <f>-(K684*0.025+L684*0.025)</f>
        <v/>
      </c>
      <c r="P684" s="20">
        <f>32</f>
        <v/>
      </c>
      <c r="Q684" s="20">
        <f>J684+L684+N684+O684-P684-M684</f>
        <v/>
      </c>
    </row>
    <row r="685">
      <c r="A685" s="19" t="inlineStr">
        <is>
          <t>6.5-6.11</t>
        </is>
      </c>
      <c r="B685" s="19" t="inlineStr">
        <is>
          <t>PO-128-19897493688953288</t>
        </is>
      </c>
      <c r="C685" s="19" t="inlineStr">
        <is>
          <t>Delivered</t>
        </is>
      </c>
      <c r="D685" s="19" t="inlineStr">
        <is>
          <t>128-19897535631993288</t>
        </is>
      </c>
      <c r="E685" s="19" t="inlineStr">
        <is>
          <t>Delivered</t>
        </is>
      </c>
      <c r="F685" s="19" t="inlineStr">
        <is>
          <t>BS-09</t>
        </is>
      </c>
      <c r="G685" s="19" t="inlineStr">
        <is>
          <t>Altavoz de barra para PC con iluminación RGB, sonido de alta fidelidad y múltiples conexiones: Bluetooth, radio FM, USB, TF, AUX y TWS. Ideal para juegos, reuniones y cine en casa.</t>
        </is>
      </c>
      <c r="H685" s="19" t="inlineStr">
        <is>
          <t>NEGRO</t>
        </is>
      </c>
      <c r="I685" s="19" t="n">
        <v>1</v>
      </c>
      <c r="J685" s="20" t="n">
        <v>116</v>
      </c>
      <c r="K685" s="20" t="n">
        <v>144.38</v>
      </c>
      <c r="L685" s="20" t="n">
        <v>25.86</v>
      </c>
      <c r="M685" s="20" t="n">
        <v>0</v>
      </c>
      <c r="N685" s="20">
        <f>K685*0.08+L685*0.08</f>
        <v/>
      </c>
      <c r="O685" s="20">
        <f>-(K685*0.025+L685*0.025)</f>
        <v/>
      </c>
      <c r="P685" s="20">
        <f>32</f>
        <v/>
      </c>
      <c r="Q685" s="20">
        <f>J685+L685+N685+O685-P685-M685</f>
        <v/>
      </c>
    </row>
    <row r="686">
      <c r="A686" s="19" t="inlineStr">
        <is>
          <t>6.5-6.11</t>
        </is>
      </c>
      <c r="B686" s="19" t="inlineStr">
        <is>
          <t>PO-128-19753054341752167</t>
        </is>
      </c>
      <c r="C686" s="19" t="inlineStr">
        <is>
          <t>Delivered</t>
        </is>
      </c>
      <c r="D686" s="19" t="inlineStr">
        <is>
          <t>128-19753074330232167</t>
        </is>
      </c>
      <c r="E686" s="19" t="inlineStr">
        <is>
          <t>Delivered</t>
        </is>
      </c>
      <c r="F686" s="19" t="inlineStr">
        <is>
          <t>BS-01</t>
        </is>
      </c>
      <c r="G68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6" s="19" t="inlineStr">
        <is>
          <t>BS-01</t>
        </is>
      </c>
      <c r="I686" s="19" t="n">
        <v>1</v>
      </c>
      <c r="J686" s="20" t="n">
        <v>215</v>
      </c>
      <c r="K686" s="20" t="n">
        <v>253.6</v>
      </c>
      <c r="L686" s="20" t="n">
        <v>25.86</v>
      </c>
      <c r="M686" s="20" t="n">
        <v>0</v>
      </c>
      <c r="N686" s="20">
        <f>K686*0.08+L686*0.08</f>
        <v/>
      </c>
      <c r="O686" s="20">
        <f>-(K686*0.025+L686*0.025)</f>
        <v/>
      </c>
      <c r="P686" s="20">
        <f>32</f>
        <v/>
      </c>
      <c r="Q686" s="20">
        <f>J686+L686+N686+O686-P686-M686</f>
        <v/>
      </c>
    </row>
    <row r="687">
      <c r="A687" s="19" t="inlineStr">
        <is>
          <t>6.5-6.11</t>
        </is>
      </c>
      <c r="B687" s="19" t="inlineStr">
        <is>
          <t>PO-128-19479636071031557</t>
        </is>
      </c>
      <c r="C687" s="19" t="inlineStr">
        <is>
          <t>Delivered</t>
        </is>
      </c>
      <c r="D687" s="19" t="inlineStr">
        <is>
          <t>128-19479567913591557</t>
        </is>
      </c>
      <c r="E687" s="19" t="inlineStr">
        <is>
          <t>Delivered</t>
        </is>
      </c>
      <c r="F687" s="19" t="inlineStr">
        <is>
          <t>BS-01</t>
        </is>
      </c>
      <c r="G68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7" s="19" t="inlineStr">
        <is>
          <t>BS-01</t>
        </is>
      </c>
      <c r="I687" s="19" t="n">
        <v>1</v>
      </c>
      <c r="J687" s="20" t="n">
        <v>215</v>
      </c>
      <c r="K687" s="20" t="n">
        <v>225.53</v>
      </c>
      <c r="L687" s="20" t="n">
        <v>25.86</v>
      </c>
      <c r="M687" s="20" t="n">
        <v>0</v>
      </c>
      <c r="N687" s="20">
        <f>K687*0.08+L687*0.08</f>
        <v/>
      </c>
      <c r="O687" s="20">
        <f>-(K687*0.025+L687*0.025)</f>
        <v/>
      </c>
      <c r="P687" s="20">
        <f>32</f>
        <v/>
      </c>
      <c r="Q687" s="20">
        <f>J687+L687+N687+O687-P687-M687</f>
        <v/>
      </c>
    </row>
    <row r="688">
      <c r="A688" s="19" t="inlineStr">
        <is>
          <t>6.5-6.11</t>
        </is>
      </c>
      <c r="B688" s="19" t="inlineStr">
        <is>
          <t>PO-128-19262453842550995</t>
        </is>
      </c>
      <c r="C688" s="19" t="inlineStr">
        <is>
          <t>Delivered</t>
        </is>
      </c>
      <c r="D688" s="19" t="inlineStr">
        <is>
          <t>128-19262432871030995</t>
        </is>
      </c>
      <c r="E688" s="19" t="inlineStr">
        <is>
          <t>Delivered</t>
        </is>
      </c>
      <c r="F688" s="19" t="inlineStr">
        <is>
          <t>BS-01</t>
        </is>
      </c>
      <c r="G68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8" s="19" t="inlineStr">
        <is>
          <t>BS-01</t>
        </is>
      </c>
      <c r="I688" s="19" t="n">
        <v>1</v>
      </c>
      <c r="J688" s="20" t="n">
        <v>215</v>
      </c>
      <c r="K688" s="20" t="n">
        <v>191.08</v>
      </c>
      <c r="L688" s="20" t="n">
        <v>25.86</v>
      </c>
      <c r="M688" s="20" t="n">
        <v>0</v>
      </c>
      <c r="N688" s="20">
        <f>K688*0.08+L688*0.08</f>
        <v/>
      </c>
      <c r="O688" s="20">
        <f>-(K688*0.025+L688*0.025)</f>
        <v/>
      </c>
      <c r="P688" s="20">
        <f>32</f>
        <v/>
      </c>
      <c r="Q688" s="20">
        <f>J688+L688+N688+O688-P688-M688</f>
        <v/>
      </c>
    </row>
    <row r="689">
      <c r="A689" s="19" t="inlineStr">
        <is>
          <t>6.5-6.11</t>
        </is>
      </c>
      <c r="B689" s="19" t="inlineStr">
        <is>
          <t>PO-128-19791687148153921</t>
        </is>
      </c>
      <c r="C689" s="19" t="inlineStr">
        <is>
          <t>Delivered</t>
        </is>
      </c>
      <c r="D689" s="19" t="inlineStr">
        <is>
          <t>128-19791708119673921</t>
        </is>
      </c>
      <c r="E689" s="19" t="inlineStr">
        <is>
          <t>Delivered</t>
        </is>
      </c>
      <c r="F689" s="19" t="inlineStr">
        <is>
          <t>BS-01</t>
        </is>
      </c>
      <c r="G68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9" s="19" t="inlineStr">
        <is>
          <t>BS-01</t>
        </is>
      </c>
      <c r="I689" s="19" t="n">
        <v>1</v>
      </c>
      <c r="J689" s="20" t="n">
        <v>215</v>
      </c>
      <c r="K689" s="20" t="n">
        <v>253.6</v>
      </c>
      <c r="L689" s="20" t="n">
        <v>25.86</v>
      </c>
      <c r="M689" s="20" t="n">
        <v>0</v>
      </c>
      <c r="N689" s="20">
        <f>K689*0.08+L689*0.08</f>
        <v/>
      </c>
      <c r="O689" s="20">
        <f>-(K689*0.025+L689*0.025)</f>
        <v/>
      </c>
      <c r="P689" s="20">
        <f>32</f>
        <v/>
      </c>
      <c r="Q689" s="20">
        <f>J689+L689+N689+O689-P689-M689</f>
        <v/>
      </c>
    </row>
    <row r="690">
      <c r="A690" s="19" t="inlineStr">
        <is>
          <t>6.5-6.11</t>
        </is>
      </c>
      <c r="B690" s="19" t="inlineStr">
        <is>
          <t>PO-128-08697406413432334</t>
        </is>
      </c>
      <c r="C690" s="19" t="inlineStr">
        <is>
          <t>Delivered</t>
        </is>
      </c>
      <c r="D690" s="19" t="inlineStr">
        <is>
          <t>128-08697416899192334</t>
        </is>
      </c>
      <c r="E690" s="19" t="inlineStr">
        <is>
          <t>Delivered</t>
        </is>
      </c>
      <c r="F690" s="19" t="inlineStr">
        <is>
          <t>BS-09</t>
        </is>
      </c>
      <c r="G690" s="19" t="inlineStr">
        <is>
          <t>Altavoz de barra para PC con iluminación RGB, sonido de alta fidelidad y múltiples conexiones: Bluetooth, radio FM, USB, TF, AUX y TWS. Ideal para juegos, reuniones y cine en casa.</t>
        </is>
      </c>
      <c r="H690" s="19" t="inlineStr">
        <is>
          <t>NEGRO</t>
        </is>
      </c>
      <c r="I690" s="19" t="n">
        <v>1</v>
      </c>
      <c r="J690" s="20" t="n">
        <v>116</v>
      </c>
      <c r="K690" s="20" t="n">
        <v>127.34</v>
      </c>
      <c r="L690" s="20" t="n">
        <v>25.86</v>
      </c>
      <c r="M690" s="20" t="n">
        <v>0</v>
      </c>
      <c r="N690" s="20">
        <f>K690*0.08+L690*0.08</f>
        <v/>
      </c>
      <c r="O690" s="20">
        <f>-(K690*0.025+L690*0.025)</f>
        <v/>
      </c>
      <c r="P690" s="20">
        <f>32</f>
        <v/>
      </c>
      <c r="Q690" s="20">
        <f>J690+L690+N690+O690-P690-M690</f>
        <v/>
      </c>
    </row>
    <row r="691">
      <c r="A691" s="19" t="inlineStr">
        <is>
          <t>6.5-6.11</t>
        </is>
      </c>
      <c r="B691" s="19" t="inlineStr">
        <is>
          <t>PO-128-08794004419193934</t>
        </is>
      </c>
      <c r="C691" s="19" t="inlineStr">
        <is>
          <t>Delivered</t>
        </is>
      </c>
      <c r="D691" s="19" t="inlineStr">
        <is>
          <t>128-08794046362233934</t>
        </is>
      </c>
      <c r="E691" s="19" t="inlineStr">
        <is>
          <t>Delivered</t>
        </is>
      </c>
      <c r="F691" s="19" t="inlineStr">
        <is>
          <t>BS-01</t>
        </is>
      </c>
      <c r="G69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1" s="19" t="inlineStr">
        <is>
          <t>BS-01</t>
        </is>
      </c>
      <c r="I691" s="19" t="n">
        <v>2</v>
      </c>
      <c r="J691" s="20" t="n">
        <v>430</v>
      </c>
      <c r="K691" s="20" t="n">
        <v>438.24</v>
      </c>
      <c r="L691" s="20" t="n">
        <v>0</v>
      </c>
      <c r="M691" s="20" t="n">
        <v>0</v>
      </c>
      <c r="N691" s="20">
        <f>K691*0.08+L691*0.08</f>
        <v/>
      </c>
      <c r="O691" s="20">
        <f>-(K691*0.025+L691*0.025)</f>
        <v/>
      </c>
      <c r="P691" s="20">
        <f>32</f>
        <v/>
      </c>
      <c r="Q691" s="20">
        <f>J691+L691+N691+O691-P691-M691</f>
        <v/>
      </c>
    </row>
    <row r="692">
      <c r="A692" s="19" t="inlineStr">
        <is>
          <t>6.5-6.11</t>
        </is>
      </c>
      <c r="B692" s="19" t="inlineStr">
        <is>
          <t>PO-128-08654679020152591</t>
        </is>
      </c>
      <c r="C692" s="19" t="inlineStr">
        <is>
          <t>Delivered</t>
        </is>
      </c>
      <c r="D692" s="19" t="inlineStr">
        <is>
          <t>128-08654637077112591</t>
        </is>
      </c>
      <c r="E692" s="19" t="inlineStr">
        <is>
          <t>Delivered</t>
        </is>
      </c>
      <c r="F692" s="19" t="inlineStr">
        <is>
          <t>BS-01</t>
        </is>
      </c>
      <c r="G69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2" s="19" t="inlineStr">
        <is>
          <t>BS-01</t>
        </is>
      </c>
      <c r="I692" s="19" t="n">
        <v>1</v>
      </c>
      <c r="J692" s="20" t="n">
        <v>215</v>
      </c>
      <c r="K692" s="20" t="n">
        <v>253.6</v>
      </c>
      <c r="L692" s="20" t="n">
        <v>0</v>
      </c>
      <c r="M692" s="20" t="n">
        <v>253.6</v>
      </c>
      <c r="N692" s="20">
        <f>K692*0.08+L692*0.08</f>
        <v/>
      </c>
      <c r="O692" s="20">
        <f>-(K692*0.025+L692*0.025)</f>
        <v/>
      </c>
      <c r="P692" s="20">
        <f>32</f>
        <v/>
      </c>
      <c r="Q692" s="20">
        <f>J692+L692+N692+O692-P692-M692</f>
        <v/>
      </c>
    </row>
    <row r="693">
      <c r="A693" s="19" t="inlineStr">
        <is>
          <t>6.5-6.11</t>
        </is>
      </c>
      <c r="B693" s="19" t="inlineStr">
        <is>
          <t>PO-128-08285159363190889</t>
        </is>
      </c>
      <c r="C693" s="19" t="inlineStr">
        <is>
          <t>Delivered</t>
        </is>
      </c>
      <c r="D693" s="19" t="inlineStr">
        <is>
          <t>128-08285138391670889</t>
        </is>
      </c>
      <c r="E693" s="19" t="inlineStr">
        <is>
          <t>Delivered</t>
        </is>
      </c>
      <c r="F693" s="19" t="inlineStr">
        <is>
          <t>BS-01</t>
        </is>
      </c>
      <c r="G69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3" s="19" t="inlineStr">
        <is>
          <t>BS-01</t>
        </is>
      </c>
      <c r="I693" s="19" t="n">
        <v>1</v>
      </c>
      <c r="J693" s="20" t="n">
        <v>215</v>
      </c>
      <c r="K693" s="20" t="n">
        <v>253.6</v>
      </c>
      <c r="L693" s="20" t="n">
        <v>25.86</v>
      </c>
      <c r="M693" s="20" t="n">
        <v>0</v>
      </c>
      <c r="N693" s="20">
        <f>K693*0.08+L693*0.08</f>
        <v/>
      </c>
      <c r="O693" s="20">
        <f>-(K693*0.025+L693*0.025)</f>
        <v/>
      </c>
      <c r="P693" s="20">
        <f>32</f>
        <v/>
      </c>
      <c r="Q693" s="20">
        <f>J693+L693+N693+O693-P693-M693</f>
        <v/>
      </c>
    </row>
    <row r="694">
      <c r="A694" s="19" t="inlineStr">
        <is>
          <t>6.5-6.11</t>
        </is>
      </c>
      <c r="B694" s="19" t="inlineStr">
        <is>
          <t>PO-128-08400032236150010</t>
        </is>
      </c>
      <c r="C694" s="19" t="inlineStr">
        <is>
          <t>Delivered</t>
        </is>
      </c>
      <c r="D694" s="19" t="inlineStr">
        <is>
          <t>128-08400084664950010</t>
        </is>
      </c>
      <c r="E694" s="19" t="inlineStr">
        <is>
          <t>Delivered</t>
        </is>
      </c>
      <c r="F694" s="19" t="inlineStr">
        <is>
          <t>BS-01</t>
        </is>
      </c>
      <c r="G694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4" s="19" t="inlineStr">
        <is>
          <t>BS-01</t>
        </is>
      </c>
      <c r="I694" s="19" t="n">
        <v>1</v>
      </c>
      <c r="J694" s="20" t="n">
        <v>215</v>
      </c>
      <c r="K694" s="20" t="n">
        <v>215.07</v>
      </c>
      <c r="L694" s="20" t="n">
        <v>25.86</v>
      </c>
      <c r="M694" s="20" t="n">
        <v>0</v>
      </c>
      <c r="N694" s="20">
        <f>K694*0.08+L694*0.08</f>
        <v/>
      </c>
      <c r="O694" s="20">
        <f>-(K694*0.025+L694*0.025)</f>
        <v/>
      </c>
      <c r="P694" s="20">
        <f>32</f>
        <v/>
      </c>
      <c r="Q694" s="20">
        <f>J694+L694+N694+O694-P694-M694</f>
        <v/>
      </c>
    </row>
    <row r="695">
      <c r="A695" s="19" t="inlineStr">
        <is>
          <t>6.5-6.11</t>
        </is>
      </c>
      <c r="B695" s="19" t="inlineStr">
        <is>
          <t>PO-128-08498738483831662</t>
        </is>
      </c>
      <c r="C695" s="19" t="inlineStr">
        <is>
          <t>Delivered</t>
        </is>
      </c>
      <c r="D695" s="19" t="inlineStr">
        <is>
          <t>128-08498717512311662</t>
        </is>
      </c>
      <c r="E695" s="19" t="inlineStr">
        <is>
          <t>Delivered</t>
        </is>
      </c>
      <c r="F695" s="19" t="inlineStr">
        <is>
          <t>BS-01</t>
        </is>
      </c>
      <c r="G69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5" s="19" t="inlineStr">
        <is>
          <t>BS-01</t>
        </is>
      </c>
      <c r="I695" s="19" t="n">
        <v>1</v>
      </c>
      <c r="J695" s="20" t="n">
        <v>215</v>
      </c>
      <c r="K695" s="20" t="n">
        <v>227.74</v>
      </c>
      <c r="L695" s="20" t="n">
        <v>25.86</v>
      </c>
      <c r="M695" s="20" t="n">
        <v>0</v>
      </c>
      <c r="N695" s="20">
        <f>K695*0.08+L695*0.08</f>
        <v/>
      </c>
      <c r="O695" s="20">
        <f>-(K695*0.025+L695*0.025)</f>
        <v/>
      </c>
      <c r="P695" s="20">
        <f>32</f>
        <v/>
      </c>
      <c r="Q695" s="20">
        <f>J695+L695+N695+O695-P695-M695</f>
        <v/>
      </c>
    </row>
    <row r="696">
      <c r="A696" s="19" t="inlineStr">
        <is>
          <t>6.5-6.11</t>
        </is>
      </c>
      <c r="B696" s="19" t="inlineStr">
        <is>
          <t>PO-128-08771286636154006</t>
        </is>
      </c>
      <c r="C696" s="19" t="inlineStr">
        <is>
          <t>Delivered</t>
        </is>
      </c>
      <c r="D696" s="19" t="inlineStr">
        <is>
          <t>128-08771276150394006</t>
        </is>
      </c>
      <c r="E696" s="19" t="inlineStr">
        <is>
          <t>Delivered</t>
        </is>
      </c>
      <c r="F696" s="19" t="inlineStr">
        <is>
          <t>BS-09</t>
        </is>
      </c>
      <c r="G696" s="19" t="inlineStr">
        <is>
          <t>Altavoz de barra para PC con iluminación RGB, sonido de alta fidelidad y múltiples conexiones: Bluetooth, radio FM, USB, TF, AUX y TWS. Ideal para juegos, reuniones y cine en casa.</t>
        </is>
      </c>
      <c r="H696" s="19" t="inlineStr">
        <is>
          <t>NEGRO</t>
        </is>
      </c>
      <c r="I696" s="19" t="n">
        <v>2</v>
      </c>
      <c r="J696" s="20" t="n">
        <v>235.98</v>
      </c>
      <c r="K696" s="20" t="n">
        <v>292.72</v>
      </c>
      <c r="L696" s="20" t="n">
        <v>0</v>
      </c>
      <c r="M696" s="20" t="n">
        <v>0</v>
      </c>
      <c r="N696" s="20">
        <f>K696*0.08+L696*0.08</f>
        <v/>
      </c>
      <c r="O696" s="20">
        <f>-(K696*0.025+L696*0.025)</f>
        <v/>
      </c>
      <c r="P696" s="20">
        <f>32</f>
        <v/>
      </c>
      <c r="Q696" s="20">
        <f>J696+L696+N696+O696-P696-M696</f>
        <v/>
      </c>
    </row>
    <row r="697">
      <c r="A697" s="19" t="inlineStr">
        <is>
          <t>6.5-6.11</t>
        </is>
      </c>
      <c r="B697" s="19" t="inlineStr">
        <is>
          <t>PO-128-08287631944310872</t>
        </is>
      </c>
      <c r="C697" s="19" t="inlineStr">
        <is>
          <t>Delivered</t>
        </is>
      </c>
      <c r="D697" s="19" t="inlineStr">
        <is>
          <t>128-08287736801910872</t>
        </is>
      </c>
      <c r="E697" s="19" t="inlineStr">
        <is>
          <t>Delivered</t>
        </is>
      </c>
      <c r="F697" s="19" t="inlineStr">
        <is>
          <t>BS-09</t>
        </is>
      </c>
      <c r="G697" s="19" t="inlineStr">
        <is>
          <t>Altavoz de barra para PC con iluminación RGB, sonido de alta fidelidad y múltiples conexiones: Bluetooth, radio FM, USB, TF, AUX y TWS. Ideal para juegos, reuniones y cine en casa.</t>
        </is>
      </c>
      <c r="H697" s="19" t="inlineStr">
        <is>
          <t>NEGRO</t>
        </is>
      </c>
      <c r="I697" s="19" t="n">
        <v>1</v>
      </c>
      <c r="J697" s="20" t="n">
        <v>117.99</v>
      </c>
      <c r="K697" s="20" t="n">
        <v>146.36</v>
      </c>
      <c r="L697" s="20" t="n">
        <v>25.86</v>
      </c>
      <c r="M697" s="20" t="n">
        <v>0</v>
      </c>
      <c r="N697" s="20">
        <f>K697*0.08+L697*0.08</f>
        <v/>
      </c>
      <c r="O697" s="20">
        <f>-(K697*0.025+L697*0.025)</f>
        <v/>
      </c>
      <c r="P697" s="20">
        <f>32</f>
        <v/>
      </c>
      <c r="Q697" s="20">
        <f>J697+L697+N697+O697-P697-M697</f>
        <v/>
      </c>
    </row>
    <row r="698">
      <c r="A698" s="19" t="inlineStr">
        <is>
          <t>6.5-6.11</t>
        </is>
      </c>
      <c r="B698" s="19" t="inlineStr">
        <is>
          <t>PO-128-08586580398711138</t>
        </is>
      </c>
      <c r="C698" s="19" t="inlineStr">
        <is>
          <t>Delivered</t>
        </is>
      </c>
      <c r="D698" s="19" t="inlineStr">
        <is>
          <t>128-08586641347191138</t>
        </is>
      </c>
      <c r="E698" s="19" t="inlineStr">
        <is>
          <t>Delivered</t>
        </is>
      </c>
      <c r="F698" s="19" t="inlineStr">
        <is>
          <t>BS-01</t>
        </is>
      </c>
      <c r="G698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8" s="19" t="inlineStr">
        <is>
          <t>BS-01</t>
        </is>
      </c>
      <c r="I698" s="19" t="n">
        <v>1</v>
      </c>
      <c r="J698" s="20" t="n">
        <v>219</v>
      </c>
      <c r="K698" s="20" t="n">
        <v>257.6</v>
      </c>
      <c r="L698" s="20" t="n">
        <v>25.86</v>
      </c>
      <c r="M698" s="20" t="n">
        <v>0</v>
      </c>
      <c r="N698" s="20">
        <f>K698*0.08+L698*0.08</f>
        <v/>
      </c>
      <c r="O698" s="20">
        <f>-(K698*0.025+L698*0.025)</f>
        <v/>
      </c>
      <c r="P698" s="20">
        <f>32</f>
        <v/>
      </c>
      <c r="Q698" s="20">
        <f>J698+L698+N698+O698-P698-M698</f>
        <v/>
      </c>
    </row>
    <row r="699">
      <c r="A699" s="19" t="inlineStr">
        <is>
          <t>6.5-6.11</t>
        </is>
      </c>
      <c r="B699" s="19" t="inlineStr">
        <is>
          <t>PO-128-13769156188790776</t>
        </is>
      </c>
      <c r="C699" s="19" t="inlineStr">
        <is>
          <t>Delivered</t>
        </is>
      </c>
      <c r="D699" s="19" t="inlineStr">
        <is>
          <t>128-13769208617590776</t>
        </is>
      </c>
      <c r="E699" s="19" t="inlineStr">
        <is>
          <t>Delivered</t>
        </is>
      </c>
      <c r="F699" s="19" t="inlineStr">
        <is>
          <t>BS-01</t>
        </is>
      </c>
      <c r="G69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9" s="19" t="inlineStr">
        <is>
          <t>BS-01</t>
        </is>
      </c>
      <c r="I699" s="19" t="n">
        <v>1</v>
      </c>
      <c r="J699" s="20" t="n">
        <v>219</v>
      </c>
      <c r="K699" s="20" t="n">
        <v>257.6</v>
      </c>
      <c r="L699" s="20" t="n">
        <v>25.86</v>
      </c>
      <c r="M699" s="20" t="n">
        <v>0</v>
      </c>
      <c r="N699" s="20">
        <f>K699*0.08+L699*0.08</f>
        <v/>
      </c>
      <c r="O699" s="20">
        <f>-(K699*0.025+L699*0.025)</f>
        <v/>
      </c>
      <c r="P699" s="20">
        <f>32</f>
        <v/>
      </c>
      <c r="Q699" s="20">
        <f>J699+L699+N699+O699-P699-M699</f>
        <v/>
      </c>
    </row>
    <row r="700">
      <c r="A700" s="19" t="inlineStr">
        <is>
          <t>6.5-6.11</t>
        </is>
      </c>
      <c r="B700" s="19" t="inlineStr">
        <is>
          <t>PO-128-13831856497270402</t>
        </is>
      </c>
      <c r="C700" s="19" t="inlineStr">
        <is>
          <t>Delivered</t>
        </is>
      </c>
      <c r="D700" s="19" t="inlineStr">
        <is>
          <t>128-13831840768630402</t>
        </is>
      </c>
      <c r="E700" s="19" t="inlineStr">
        <is>
          <t>Delivered</t>
        </is>
      </c>
      <c r="F700" s="19" t="inlineStr">
        <is>
          <t>BS-01</t>
        </is>
      </c>
      <c r="G70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0" s="19" t="inlineStr">
        <is>
          <t>BS-01</t>
        </is>
      </c>
      <c r="I700" s="19" t="n">
        <v>1</v>
      </c>
      <c r="J700" s="20" t="n">
        <v>219</v>
      </c>
      <c r="K700" s="20" t="n">
        <v>257.6</v>
      </c>
      <c r="L700" s="20" t="n">
        <v>25.86</v>
      </c>
      <c r="M700" s="20" t="n">
        <v>0</v>
      </c>
      <c r="N700" s="20">
        <f>K700*0.08+L700*0.08</f>
        <v/>
      </c>
      <c r="O700" s="20">
        <f>-(K700*0.025+L700*0.025)</f>
        <v/>
      </c>
      <c r="P700" s="20">
        <f>32</f>
        <v/>
      </c>
      <c r="Q700" s="20">
        <f>J700+L700+N700+O700-P700-M700</f>
        <v/>
      </c>
    </row>
    <row r="701">
      <c r="A701" s="19" t="inlineStr">
        <is>
          <t>6.5-6.11</t>
        </is>
      </c>
      <c r="B701" s="19" t="inlineStr">
        <is>
          <t>PO-128-13927375821432011</t>
        </is>
      </c>
      <c r="C701" s="19" t="inlineStr">
        <is>
          <t>Delivered</t>
        </is>
      </c>
      <c r="D701" s="19" t="inlineStr">
        <is>
          <t>128-13927396792952011</t>
        </is>
      </c>
      <c r="E701" s="19" t="inlineStr">
        <is>
          <t>Delivered</t>
        </is>
      </c>
      <c r="F701" s="19" t="inlineStr">
        <is>
          <t>BS-09</t>
        </is>
      </c>
      <c r="G701" s="19" t="inlineStr">
        <is>
          <t>Altavoz de barra para PC con iluminación RGB, sonido de alta fidelidad y múltiples conexiones: Bluetooth, radio FM, USB, TF, AUX y TWS. Ideal para juegos, reuniones y cine en casa.</t>
        </is>
      </c>
      <c r="H701" s="19" t="inlineStr">
        <is>
          <t>NEGRO</t>
        </is>
      </c>
      <c r="I701" s="19" t="n">
        <v>1</v>
      </c>
      <c r="J701" s="20" t="n">
        <v>117.99</v>
      </c>
      <c r="K701" s="20" t="n">
        <v>146.36</v>
      </c>
      <c r="L701" s="20" t="n">
        <v>25.86</v>
      </c>
      <c r="M701" s="20" t="n">
        <v>0</v>
      </c>
      <c r="N701" s="20">
        <f>K701*0.08+L701*0.08</f>
        <v/>
      </c>
      <c r="O701" s="20">
        <f>-(K701*0.025+L701*0.025)</f>
        <v/>
      </c>
      <c r="P701" s="20">
        <f>32</f>
        <v/>
      </c>
      <c r="Q701" s="20">
        <f>J701+L701+N701+O701-P701-M701</f>
        <v/>
      </c>
    </row>
    <row r="702">
      <c r="A702" s="19" t="inlineStr">
        <is>
          <t>6.5-6.11</t>
        </is>
      </c>
      <c r="B702" s="19" t="inlineStr">
        <is>
          <t>PO-128-14299275382393952</t>
        </is>
      </c>
      <c r="C702" s="19" t="inlineStr">
        <is>
          <t>Delivered</t>
        </is>
      </c>
      <c r="D702" s="19" t="inlineStr">
        <is>
          <t>128-14299306839673952</t>
        </is>
      </c>
      <c r="E702" s="19" t="inlineStr">
        <is>
          <t>Delivered</t>
        </is>
      </c>
      <c r="F702" s="19" t="inlineStr">
        <is>
          <t>BS-01</t>
        </is>
      </c>
      <c r="G702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2" s="19" t="inlineStr">
        <is>
          <t>BS-01</t>
        </is>
      </c>
      <c r="I702" s="19" t="n">
        <v>1</v>
      </c>
      <c r="J702" s="20" t="n">
        <v>219</v>
      </c>
      <c r="K702" s="20" t="n">
        <v>257.6</v>
      </c>
      <c r="L702" s="20" t="n">
        <v>0</v>
      </c>
      <c r="M702" s="20" t="n">
        <v>257.6</v>
      </c>
      <c r="N702" s="20">
        <f>K702*0.08+L702*0.08</f>
        <v/>
      </c>
      <c r="O702" s="20">
        <f>-(K702*0.025+L702*0.025)</f>
        <v/>
      </c>
      <c r="P702" s="20">
        <f>32</f>
        <v/>
      </c>
      <c r="Q702" s="20">
        <f>J702+L702+N702+O702-P702-M702</f>
        <v/>
      </c>
    </row>
    <row r="703">
      <c r="A703" s="19" t="inlineStr">
        <is>
          <t>6.5-6.11</t>
        </is>
      </c>
      <c r="B703" s="19" t="inlineStr">
        <is>
          <t>PO-128-13855842632310261</t>
        </is>
      </c>
      <c r="C703" s="19" t="inlineStr">
        <is>
          <t>Delivered</t>
        </is>
      </c>
      <c r="D703" s="19" t="inlineStr">
        <is>
          <t>128-13855807242870261</t>
        </is>
      </c>
      <c r="E703" s="19" t="inlineStr">
        <is>
          <t>Delivered</t>
        </is>
      </c>
      <c r="F703" s="19" t="inlineStr">
        <is>
          <t>BS-01</t>
        </is>
      </c>
      <c r="G703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3" s="19" t="inlineStr">
        <is>
          <t>BS-01</t>
        </is>
      </c>
      <c r="I703" s="19" t="n">
        <v>1</v>
      </c>
      <c r="J703" s="20" t="n">
        <v>219</v>
      </c>
      <c r="K703" s="20" t="n">
        <v>192.51</v>
      </c>
      <c r="L703" s="20" t="n">
        <v>25.86</v>
      </c>
      <c r="M703" s="20" t="n">
        <v>0</v>
      </c>
      <c r="N703" s="20">
        <f>K703*0.08+L703*0.08</f>
        <v/>
      </c>
      <c r="O703" s="20">
        <f>-(K703*0.025+L703*0.025)</f>
        <v/>
      </c>
      <c r="P703" s="20">
        <f>32</f>
        <v/>
      </c>
      <c r="Q703" s="20">
        <f>J703+L703+N703+O703-P703-M703</f>
        <v/>
      </c>
    </row>
    <row r="704">
      <c r="A704" s="19" t="inlineStr">
        <is>
          <t>6.5-6.11</t>
        </is>
      </c>
      <c r="B704" s="19" t="inlineStr">
        <is>
          <t>PO-128-14182884209272470</t>
        </is>
      </c>
      <c r="C704" s="19" t="inlineStr">
        <is>
          <t>Delivered</t>
        </is>
      </c>
      <c r="D704" s="19" t="inlineStr">
        <is>
          <t>128-14182852751992470</t>
        </is>
      </c>
      <c r="E704" s="19" t="inlineStr">
        <is>
          <t>Delivered</t>
        </is>
      </c>
      <c r="F704" s="19" t="inlineStr">
        <is>
          <t>BS-09</t>
        </is>
      </c>
      <c r="G704" s="19" t="inlineStr">
        <is>
          <t>Altavoz de barra para PC con iluminación RGB, sonido de alta fidelidad y múltiples conexiones: Bluetooth, radio FM, USB, TF, AUX y TWS. Ideal para juegos, reuniones y cine en casa.</t>
        </is>
      </c>
      <c r="H704" s="19" t="inlineStr">
        <is>
          <t>NEGRO</t>
        </is>
      </c>
      <c r="I704" s="19" t="n">
        <v>1</v>
      </c>
      <c r="J704" s="20" t="n">
        <v>117.99</v>
      </c>
      <c r="K704" s="20" t="n">
        <v>146.36</v>
      </c>
      <c r="L704" s="20" t="n">
        <v>25.86</v>
      </c>
      <c r="M704" s="20" t="n">
        <v>0</v>
      </c>
      <c r="N704" s="20">
        <f>K704*0.08+L704*0.08</f>
        <v/>
      </c>
      <c r="O704" s="20">
        <f>-(K704*0.025+L704*0.025)</f>
        <v/>
      </c>
      <c r="P704" s="20">
        <f>32</f>
        <v/>
      </c>
      <c r="Q704" s="20">
        <f>J704+L704+N704+O704-P704-M704</f>
        <v/>
      </c>
    </row>
    <row r="705">
      <c r="A705" s="19" t="inlineStr">
        <is>
          <t>6.5-6.11</t>
        </is>
      </c>
      <c r="B705" s="19" t="inlineStr">
        <is>
          <t>PO-128-13839725573750421</t>
        </is>
      </c>
      <c r="C705" s="19" t="inlineStr">
        <is>
          <t>Delivered</t>
        </is>
      </c>
      <c r="D705" s="19" t="inlineStr">
        <is>
          <t>128-13839746545270421</t>
        </is>
      </c>
      <c r="E705" s="19" t="inlineStr">
        <is>
          <t>Delivered</t>
        </is>
      </c>
      <c r="F705" s="19" t="inlineStr">
        <is>
          <t>BS-01</t>
        </is>
      </c>
      <c r="G705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5" s="19" t="inlineStr">
        <is>
          <t>BS-01</t>
        </is>
      </c>
      <c r="I705" s="19" t="n">
        <v>1</v>
      </c>
      <c r="J705" s="20" t="n">
        <v>219</v>
      </c>
      <c r="K705" s="20" t="n">
        <v>257.6</v>
      </c>
      <c r="L705" s="20" t="n">
        <v>25.86</v>
      </c>
      <c r="M705" s="20" t="n">
        <v>0</v>
      </c>
      <c r="N705" s="20">
        <f>K705*0.08+L705*0.08</f>
        <v/>
      </c>
      <c r="O705" s="20">
        <f>-(K705*0.025+L705*0.025)</f>
        <v/>
      </c>
      <c r="P705" s="20">
        <f>32</f>
        <v/>
      </c>
      <c r="Q705" s="20">
        <f>J705+L705+N705+O705-P705-M705</f>
        <v/>
      </c>
    </row>
    <row r="706">
      <c r="A706" s="19" t="inlineStr">
        <is>
          <t>6.5-6.11</t>
        </is>
      </c>
      <c r="B706" s="19" t="inlineStr">
        <is>
          <t>PO-128-14089959127672960</t>
        </is>
      </c>
      <c r="C706" s="19" t="inlineStr">
        <is>
          <t>Delivered</t>
        </is>
      </c>
      <c r="D706" s="19" t="inlineStr">
        <is>
          <t>128-14089938156152960</t>
        </is>
      </c>
      <c r="E706" s="19" t="inlineStr">
        <is>
          <t>Delivered</t>
        </is>
      </c>
      <c r="F706" s="19" t="inlineStr">
        <is>
          <t>BS-01</t>
        </is>
      </c>
      <c r="G706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6" s="19" t="inlineStr">
        <is>
          <t>BS-01</t>
        </is>
      </c>
      <c r="I706" s="19" t="n">
        <v>1</v>
      </c>
      <c r="J706" s="20" t="n">
        <v>219</v>
      </c>
      <c r="K706" s="20" t="n">
        <v>257.6</v>
      </c>
      <c r="L706" s="20" t="n">
        <v>25.86</v>
      </c>
      <c r="M706" s="20" t="n">
        <v>0</v>
      </c>
      <c r="N706" s="20">
        <f>K706*0.08+L706*0.08</f>
        <v/>
      </c>
      <c r="O706" s="20">
        <f>-(K706*0.025+L706*0.025)</f>
        <v/>
      </c>
      <c r="P706" s="20">
        <f>32</f>
        <v/>
      </c>
      <c r="Q706" s="20">
        <f>J706+L706+N706+O706-P706-M706</f>
        <v/>
      </c>
    </row>
    <row r="707">
      <c r="A707" s="19" t="inlineStr">
        <is>
          <t>6.5-6.11</t>
        </is>
      </c>
      <c r="B707" s="19" t="inlineStr">
        <is>
          <t>PO-128-14302355763833742</t>
        </is>
      </c>
      <c r="C707" s="19" t="inlineStr">
        <is>
          <t>Delivered</t>
        </is>
      </c>
      <c r="D707" s="19" t="inlineStr">
        <is>
          <t>128-14302376735353742</t>
        </is>
      </c>
      <c r="E707" s="19" t="inlineStr">
        <is>
          <t>Delivered</t>
        </is>
      </c>
      <c r="F707" s="19" t="inlineStr">
        <is>
          <t>BS-01</t>
        </is>
      </c>
      <c r="G707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7" s="19" t="inlineStr">
        <is>
          <t>BS-01</t>
        </is>
      </c>
      <c r="I707" s="19" t="n">
        <v>2</v>
      </c>
      <c r="J707" s="20" t="n">
        <v>438</v>
      </c>
      <c r="K707" s="20" t="n">
        <v>515.2</v>
      </c>
      <c r="L707" s="20" t="n">
        <v>0</v>
      </c>
      <c r="M707" s="20" t="n">
        <v>0</v>
      </c>
      <c r="N707" s="20">
        <f>K707*0.08+L707*0.08</f>
        <v/>
      </c>
      <c r="O707" s="20">
        <f>-(K707*0.025+L707*0.025)</f>
        <v/>
      </c>
      <c r="P707" s="20">
        <f>32</f>
        <v/>
      </c>
      <c r="Q707" s="20">
        <f>J707+L707+N707+O707-P707-M707</f>
        <v/>
      </c>
    </row>
    <row r="708">
      <c r="A708" s="19" t="inlineStr">
        <is>
          <t>6.5-6.11</t>
        </is>
      </c>
      <c r="B708" s="19" t="inlineStr">
        <is>
          <t>PO-128-14309394903673764</t>
        </is>
      </c>
      <c r="C708" s="19" t="inlineStr">
        <is>
          <t>Delivered</t>
        </is>
      </c>
      <c r="D708" s="19" t="inlineStr">
        <is>
          <t>128-14309415875193764</t>
        </is>
      </c>
      <c r="E708" s="19" t="inlineStr">
        <is>
          <t>Delivered</t>
        </is>
      </c>
      <c r="F708" s="19" t="inlineStr">
        <is>
          <t>BS-09</t>
        </is>
      </c>
      <c r="G708" s="19" t="inlineStr">
        <is>
          <t>Altavoz de barra para PC con iluminación RGB, sonido de alta fidelidad y múltiples conexiones: Bluetooth, radio FM, USB, TF, AUX y TWS. Ideal para juegos, reuniones y cine en casa.</t>
        </is>
      </c>
      <c r="H708" s="19" t="inlineStr">
        <is>
          <t>NEGRO</t>
        </is>
      </c>
      <c r="I708" s="19" t="n">
        <v>1</v>
      </c>
      <c r="J708" s="20" t="n">
        <v>117.99</v>
      </c>
      <c r="K708" s="20" t="n">
        <v>85.63</v>
      </c>
      <c r="L708" s="20" t="n">
        <v>25.86</v>
      </c>
      <c r="M708" s="20" t="n">
        <v>0</v>
      </c>
      <c r="N708" s="20">
        <f>K708*0.08+L708*0.08</f>
        <v/>
      </c>
      <c r="O708" s="20">
        <f>-(K708*0.025+L708*0.025)</f>
        <v/>
      </c>
      <c r="P708" s="20">
        <f>32</f>
        <v/>
      </c>
      <c r="Q708" s="20">
        <f>J708+L708+N708+O708-P708-M708</f>
        <v/>
      </c>
    </row>
    <row r="709">
      <c r="A709" s="19" t="inlineStr">
        <is>
          <t>6.5-6.11</t>
        </is>
      </c>
      <c r="B709" s="19" t="inlineStr">
        <is>
          <t>PO-128-14028187976311280</t>
        </is>
      </c>
      <c r="C709" s="19" t="inlineStr">
        <is>
          <t>Delivered</t>
        </is>
      </c>
      <c r="D709" s="19" t="inlineStr">
        <is>
          <t>128-14028263998071280</t>
        </is>
      </c>
      <c r="E709" s="19" t="inlineStr">
        <is>
          <t>Delivered</t>
        </is>
      </c>
      <c r="F709" s="19" t="inlineStr">
        <is>
          <t>BS-01</t>
        </is>
      </c>
      <c r="G709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9" s="19" t="inlineStr">
        <is>
          <t>BS-01</t>
        </is>
      </c>
      <c r="I709" s="19" t="n">
        <v>1</v>
      </c>
      <c r="J709" s="20" t="n">
        <v>219</v>
      </c>
      <c r="K709" s="20" t="n">
        <v>257.6</v>
      </c>
      <c r="L709" s="20" t="n">
        <v>25.86</v>
      </c>
      <c r="M709" s="20" t="n">
        <v>4</v>
      </c>
      <c r="N709" s="20">
        <f>K709*0.08+L709*0.08</f>
        <v/>
      </c>
      <c r="O709" s="20">
        <f>-(K709*0.025+L709*0.025)</f>
        <v/>
      </c>
      <c r="P709" s="20">
        <f>32</f>
        <v/>
      </c>
      <c r="Q709" s="20">
        <f>J709+L709+N709+O709-P709-M709</f>
        <v/>
      </c>
    </row>
    <row r="710">
      <c r="A710" s="19" t="inlineStr">
        <is>
          <t>6.5-6.11</t>
        </is>
      </c>
      <c r="B710" s="19" t="inlineStr">
        <is>
          <t>PO-128-14420842527353164</t>
        </is>
      </c>
      <c r="C710" s="19" t="inlineStr">
        <is>
          <t>Delivered</t>
        </is>
      </c>
      <c r="D710" s="19" t="inlineStr">
        <is>
          <t>128-14420800584313164</t>
        </is>
      </c>
      <c r="E710" s="19" t="inlineStr">
        <is>
          <t>Delivered</t>
        </is>
      </c>
      <c r="F710" s="19" t="inlineStr">
        <is>
          <t>BS-01</t>
        </is>
      </c>
      <c r="G710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0" s="19" t="inlineStr">
        <is>
          <t>BS-01</t>
        </is>
      </c>
      <c r="I710" s="19" t="n">
        <v>1</v>
      </c>
      <c r="J710" s="20" t="n">
        <v>219</v>
      </c>
      <c r="K710" s="20" t="n">
        <v>257.6</v>
      </c>
      <c r="L710" s="20" t="n">
        <v>25.86</v>
      </c>
      <c r="M710" s="20" t="n">
        <v>0</v>
      </c>
      <c r="N710" s="20">
        <f>K710*0.08+L710*0.08</f>
        <v/>
      </c>
      <c r="O710" s="20">
        <f>-(K710*0.025+L710*0.025)</f>
        <v/>
      </c>
      <c r="P710" s="20">
        <f>32</f>
        <v/>
      </c>
      <c r="Q710" s="20">
        <f>J710+L710+N710+O710-P710-M710</f>
        <v/>
      </c>
    </row>
    <row r="711">
      <c r="A711" s="19" t="inlineStr">
        <is>
          <t>6.5-6.11</t>
        </is>
      </c>
      <c r="B711" s="19" t="inlineStr">
        <is>
          <t>PO-128-13767806659190784</t>
        </is>
      </c>
      <c r="C711" s="19" t="inlineStr">
        <is>
          <t>Delivered</t>
        </is>
      </c>
      <c r="D711" s="19" t="inlineStr">
        <is>
          <t>128-13767882680950784</t>
        </is>
      </c>
      <c r="E711" s="19" t="inlineStr">
        <is>
          <t>Delivered</t>
        </is>
      </c>
      <c r="F711" s="19" t="inlineStr">
        <is>
          <t>BS-01</t>
        </is>
      </c>
      <c r="G711" s="19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1" s="19" t="inlineStr">
        <is>
          <t>BS-01</t>
        </is>
      </c>
      <c r="I711" s="19" t="n">
        <v>1</v>
      </c>
      <c r="J711" s="20" t="n">
        <v>219</v>
      </c>
      <c r="K711" s="20" t="n">
        <v>257.6</v>
      </c>
      <c r="L711" s="20" t="n">
        <v>25.86</v>
      </c>
      <c r="M711" s="20" t="n">
        <v>0</v>
      </c>
      <c r="N711" s="20">
        <f>K711*0.08+L711*0.08</f>
        <v/>
      </c>
      <c r="O711" s="20">
        <f>-(K711*0.025+L711*0.025)</f>
        <v/>
      </c>
      <c r="P711" s="20">
        <f>32</f>
        <v/>
      </c>
      <c r="Q711" s="20">
        <f>J711+L711+N711+O711-P711-M711</f>
        <v/>
      </c>
    </row>
    <row r="712">
      <c r="A712" s="19" t="inlineStr">
        <is>
          <t>6.5-6.11</t>
        </is>
      </c>
      <c r="B712" s="19" t="inlineStr">
        <is>
          <t>PO-128-03276591534714052</t>
        </is>
      </c>
      <c r="C712" s="19" t="inlineStr">
        <is>
          <t>Delivered</t>
        </is>
      </c>
      <c r="D712" s="19" t="inlineStr">
        <is>
          <t>128-03276757340794052</t>
        </is>
      </c>
      <c r="E712" s="19" t="inlineStr">
        <is>
          <t>Delivered</t>
        </is>
      </c>
      <c r="F712" s="19" t="inlineStr">
        <is>
          <t>BS-07AM</t>
        </is>
      </c>
      <c r="G712" s="19" t="inlineStr">
        <is>
          <t>Altavoz Inalámbrico Portátil con Diseño Retro, Bajos Optimizados y Sonido 3D Envolvente,Compatible con TF/FM/AUX, Conexión BT TWS. Ideal para Home Theater, Fiestas y Regalos​</t>
        </is>
      </c>
      <c r="H712" s="19" t="inlineStr">
        <is>
          <t>BS-07AM</t>
        </is>
      </c>
      <c r="I712" s="19" t="n">
        <v>1</v>
      </c>
      <c r="J712" s="20" t="n">
        <v>135</v>
      </c>
      <c r="K712" s="20" t="n">
        <v>153.68</v>
      </c>
      <c r="L712" s="20" t="n">
        <v>25.86</v>
      </c>
      <c r="M712" s="20" t="n">
        <v>0</v>
      </c>
      <c r="N712" s="20">
        <f>K712*0.08+L712*0.08</f>
        <v/>
      </c>
      <c r="O712" s="20">
        <f>-(K712*0.025+L712*0.025)</f>
        <v/>
      </c>
      <c r="P712" s="20">
        <f>32</f>
        <v/>
      </c>
      <c r="Q712" s="20">
        <f>J712+L712+N712+O712-P712-M712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项目</t>
        </is>
      </c>
      <c r="B1" s="22" t="inlineStr">
        <is>
          <t>公式/口径</t>
        </is>
      </c>
    </row>
    <row r="2">
      <c r="A2" s="19" t="inlineStr">
        <is>
          <t>返还VAT（应收）</t>
        </is>
      </c>
      <c r="B2" s="19" t="inlineStr">
        <is>
          <t>Retail price total after discounts(tax excl.)*0.08 + Shipping total(tax excl.)*0.08</t>
        </is>
      </c>
    </row>
    <row r="3">
      <c r="A3" s="19" t="inlineStr">
        <is>
          <t>ISR预扣（应扣）</t>
        </is>
      </c>
      <c r="B3" s="19" t="inlineStr">
        <is>
          <t>-(Retail price total after discounts(tax excl.)*0.025 + Shipping total(tax excl.)*0.025)</t>
        </is>
      </c>
    </row>
    <row r="4">
      <c r="A4" s="19" t="inlineStr">
        <is>
          <t>尾程预估（应扣）</t>
        </is>
      </c>
      <c r="B4" s="19" t="inlineStr">
        <is>
          <t>每个订单行固定 32</t>
        </is>
      </c>
    </row>
    <row r="5">
      <c r="A5" s="19" t="inlineStr">
        <is>
          <t>GMV</t>
        </is>
      </c>
      <c r="B5" s="19" t="inlineStr">
        <is>
          <t>Base price total + Shipping total(tax excl.) + 返还VAT（应收） + ISR预扣（应扣） - 尾程预估（应扣） - Product refund</t>
        </is>
      </c>
    </row>
    <row r="6">
      <c r="A6" s="19" t="inlineStr">
        <is>
          <t>数据范围</t>
        </is>
      </c>
      <c r="B6" s="19" t="inlineStr">
        <is>
          <t>5.1-5.7, 5.8-5.14, 5.15-5.21, 5.22-5.28, 5.29-6.4, 6.5-6.11, 6.12-6.18 订单导出文件；原始 757 行，已剔除取消订单 46 行，纳入分析 711 行。</t>
        </is>
      </c>
    </row>
    <row r="7">
      <c r="A7" s="19" t="inlineStr">
        <is>
          <t>客单价</t>
        </is>
      </c>
      <c r="B7" s="19" t="inlineStr">
        <is>
          <t>GMV / 去重订单数</t>
        </is>
      </c>
    </row>
    <row r="8">
      <c r="A8" s="19" t="inlineStr">
        <is>
          <t>件单价</t>
        </is>
      </c>
      <c r="B8" s="19" t="inlineStr">
        <is>
          <t>GMV / 销量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2026-06-21T10:55:53Z</dcterms:created>
  <dcterms:modified xsi:type="dcterms:W3CDTF">2026-06-21T10:55:53Z</dcterms:modified>
</cp:coreProperties>
</file>