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KU全周期汇总" sheetId="2" state="visible" r:id="rId2"/>
    <sheet name="SKU周度明细" sheetId="3" state="visible" r:id="rId3"/>
    <sheet name="GMV明细" sheetId="4" state="visible" r:id="rId4"/>
    <sheet name="GMV公式说明" sheetId="5" state="visible" r:id="rId5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/>
    </xf>
    <xf numFmtId="4" fontId="0" fillId="0" borderId="0" pivotButton="0" quotePrefix="0" xfId="0"/>
    <xf numFmtId="3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4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/>
    </xf>
    <xf numFmtId="3" fontId="0" fillId="0" borderId="1" applyAlignment="1" pivotButton="0" quotePrefix="0" xfId="0">
      <alignment/>
    </xf>
    <xf numFmtId="0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4" fontId="0" fillId="0" borderId="1" applyAlignment="1" pivotButton="0" quotePrefix="0" xfId="0">
      <alignment/>
    </xf>
    <xf numFmtId="164" fontId="0" fillId="0" borderId="1" applyAlignment="1" pivotButton="0" quotePrefix="0" xfId="0">
      <alignment/>
    </xf>
    <xf numFmtId="0" fontId="3" fillId="0" borderId="1" applyAlignment="1" pivotButton="0" quotePrefix="0" xfId="0">
      <alignment vertical="top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SKU GMV贡献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'Dashboard'!B18</f>
            </strRef>
          </tx>
          <spPr>
            <a:ln>
              <a:prstDash val="solid"/>
            </a:ln>
          </spPr>
          <cat>
            <numRef>
              <f>'Dashboard'!$A$19:$A$38</f>
            </numRef>
          </cat>
          <val>
            <numRef>
              <f>'Dashboard'!$B$19:$B$38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GMV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SKU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Pulsarq 周度GMV&amp;销量联动分析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'Dashboard'!W1</f>
            </strRef>
          </tx>
          <spPr>
            <a:solidFill>
              <a:srgbClr val="2F5597"/>
            </a:solidFill>
            <a:ln>
              <a:prstDash val="solid"/>
            </a:ln>
          </spPr>
          <dLbls>
            <dLblPos val="inEnd"/>
            <showVal val="1"/>
          </dLbls>
          <cat>
            <numRef>
              <f>'Dashboard'!$U$2:$U$6</f>
            </numRef>
          </cat>
          <val>
            <numRef>
              <f>'Dashboard'!$W$2:$W$6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'Dashboard'!V1</f>
            </strRef>
          </tx>
          <spPr>
            <a:ln w="30000">
              <a:solidFill>
                <a:srgbClr val="00B050"/>
              </a:solidFill>
              <a:prstDash val="solid"/>
            </a:ln>
          </spPr>
          <marker>
            <symbol val="circle"/>
            <spPr>
              <a:solidFill>
                <a:srgbClr val="00B050"/>
              </a:solidFill>
              <a:ln>
                <a:prstDash val="solid"/>
              </a:ln>
            </spPr>
          </marker>
          <dLbls>
            <dLblPos val="r"/>
            <showVal val="1"/>
            <showLeaderLines val="1"/>
          </dLbls>
          <val>
            <numRef>
              <f>'Dashboard'!$V$2:$V$6</f>
            </numRef>
          </val>
          <smooth val="1"/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统计周期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销量(件)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GMV总额(MX$)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17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9</row>
      <rowOff>0</rowOff>
    </from>
    <ext cx="720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  <col width="13" customWidth="1" min="14" max="14"/>
    <col width="13" customWidth="1" min="15" max="15"/>
  </cols>
  <sheetData>
    <row r="1" ht="21" customHeight="1">
      <c r="A1" s="1" t="inlineStr">
        <is>
          <t>Pulsarq 5.1-6.4 GMV &amp; SKU贡献分析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U1" t="inlineStr">
        <is>
          <t>统计周期</t>
        </is>
      </c>
      <c r="V1" t="inlineStr">
        <is>
          <t>GMV</t>
        </is>
      </c>
      <c r="W1" t="inlineStr">
        <is>
          <t>销量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U2" t="inlineStr">
        <is>
          <t>5.1-5.7</t>
        </is>
      </c>
      <c r="V2" s="3" t="n">
        <v>11177.71</v>
      </c>
      <c r="W2" s="4" t="n">
        <v>119</v>
      </c>
    </row>
    <row r="3">
      <c r="A3" s="5" t="inlineStr">
        <is>
          <t>全周期GMV</t>
        </is>
      </c>
      <c r="B3" s="6" t="n">
        <v>64146.35</v>
      </c>
      <c r="C3" s="2" t="n"/>
      <c r="D3" s="5" t="inlineStr">
        <is>
          <t>周期</t>
        </is>
      </c>
      <c r="E3" s="6" t="inlineStr">
        <is>
          <t>GMV</t>
        </is>
      </c>
      <c r="F3" s="5" t="inlineStr">
        <is>
          <t>订单行数</t>
        </is>
      </c>
      <c r="G3" s="5" t="inlineStr">
        <is>
          <t>订单数</t>
        </is>
      </c>
      <c r="H3" s="5" t="inlineStr">
        <is>
          <t>销量</t>
        </is>
      </c>
      <c r="I3" s="6" t="inlineStr">
        <is>
          <t>Base金额</t>
        </is>
      </c>
      <c r="J3" s="6" t="inlineStr">
        <is>
          <t>Shipping金额</t>
        </is>
      </c>
      <c r="K3" s="6" t="inlineStr">
        <is>
          <t>返还VAT</t>
        </is>
      </c>
      <c r="L3" s="6" t="inlineStr">
        <is>
          <t>ISR预扣</t>
        </is>
      </c>
      <c r="M3" s="6" t="inlineStr">
        <is>
          <t>退款</t>
        </is>
      </c>
      <c r="N3" s="6" t="inlineStr">
        <is>
          <t>客单价</t>
        </is>
      </c>
      <c r="O3" s="6" t="inlineStr">
        <is>
          <t>件单价</t>
        </is>
      </c>
      <c r="U3" t="inlineStr">
        <is>
          <t>5.8-5.14</t>
        </is>
      </c>
      <c r="V3" s="3" t="n">
        <v>10649.75</v>
      </c>
      <c r="W3" s="4" t="n">
        <v>127</v>
      </c>
    </row>
    <row r="4">
      <c r="A4" s="7" t="inlineStr">
        <is>
          <t>订单数</t>
        </is>
      </c>
      <c r="B4" s="8" t="n">
        <v>580</v>
      </c>
      <c r="C4" s="2" t="n"/>
      <c r="D4" s="9" t="inlineStr">
        <is>
          <t>5.1-5.7</t>
        </is>
      </c>
      <c r="E4" s="10" t="n">
        <v>11177.71</v>
      </c>
      <c r="F4" s="9" t="n">
        <v>98</v>
      </c>
      <c r="G4" s="9" t="n">
        <v>90</v>
      </c>
      <c r="H4" s="9" t="n">
        <v>119</v>
      </c>
      <c r="I4" s="10" t="n">
        <v>11759.73</v>
      </c>
      <c r="J4" s="10" t="n">
        <v>2017.09</v>
      </c>
      <c r="K4" s="10" t="n">
        <v>1100.44</v>
      </c>
      <c r="L4" s="10" t="n">
        <v>-343.89</v>
      </c>
      <c r="M4" s="10" t="n">
        <v>219.66</v>
      </c>
      <c r="N4" s="10" t="n">
        <v>124.2</v>
      </c>
      <c r="O4" s="10" t="n">
        <v>93.93000000000001</v>
      </c>
      <c r="U4" t="inlineStr">
        <is>
          <t>5.15-5.21</t>
        </is>
      </c>
      <c r="V4" s="3" t="n">
        <v>15019.07</v>
      </c>
      <c r="W4" s="4" t="n">
        <v>167</v>
      </c>
    </row>
    <row r="5">
      <c r="A5" s="7" t="inlineStr">
        <is>
          <t>销量</t>
        </is>
      </c>
      <c r="B5" s="8" t="n">
        <v>760</v>
      </c>
      <c r="C5" s="2" t="n"/>
      <c r="D5" s="9" t="inlineStr">
        <is>
          <t>5.8-5.14</t>
        </is>
      </c>
      <c r="E5" s="10" t="n">
        <v>10649.75</v>
      </c>
      <c r="F5" s="9" t="n">
        <v>94</v>
      </c>
      <c r="G5" s="9" t="n">
        <v>86</v>
      </c>
      <c r="H5" s="9" t="n">
        <v>127</v>
      </c>
      <c r="I5" s="10" t="n">
        <v>10951.88</v>
      </c>
      <c r="J5" s="10" t="n">
        <v>1991.22</v>
      </c>
      <c r="K5" s="10" t="n">
        <v>1039.48</v>
      </c>
      <c r="L5" s="10" t="n">
        <v>-324.84</v>
      </c>
      <c r="M5" s="10" t="n">
        <v>0</v>
      </c>
      <c r="N5" s="10" t="n">
        <v>123.83</v>
      </c>
      <c r="O5" s="10" t="n">
        <v>83.86</v>
      </c>
      <c r="U5" t="inlineStr">
        <is>
          <t>5.22-5.28</t>
        </is>
      </c>
      <c r="V5" s="3" t="n">
        <v>13555.98</v>
      </c>
      <c r="W5" s="4" t="n">
        <v>161</v>
      </c>
    </row>
    <row r="6">
      <c r="A6" s="7" t="inlineStr">
        <is>
          <t>客单价</t>
        </is>
      </c>
      <c r="B6" s="11" t="n">
        <v>110.6</v>
      </c>
      <c r="C6" s="2" t="n"/>
      <c r="D6" s="9" t="inlineStr">
        <is>
          <t>5.15-5.21</t>
        </is>
      </c>
      <c r="E6" s="10" t="n">
        <v>15019.07</v>
      </c>
      <c r="F6" s="9" t="n">
        <v>141</v>
      </c>
      <c r="G6" s="9" t="n">
        <v>133</v>
      </c>
      <c r="H6" s="9" t="n">
        <v>167</v>
      </c>
      <c r="I6" s="10" t="n">
        <v>15679.39</v>
      </c>
      <c r="J6" s="10" t="n">
        <v>3167.89</v>
      </c>
      <c r="K6" s="10" t="n">
        <v>1532.09</v>
      </c>
      <c r="L6" s="10" t="n">
        <v>-478.78</v>
      </c>
      <c r="M6" s="10" t="n">
        <v>369.52</v>
      </c>
      <c r="N6" s="10" t="n">
        <v>112.93</v>
      </c>
      <c r="O6" s="10" t="n">
        <v>89.93000000000001</v>
      </c>
      <c r="U6" t="inlineStr">
        <is>
          <t>5.29-6.4</t>
        </is>
      </c>
      <c r="V6" s="3" t="n">
        <v>13743.83</v>
      </c>
      <c r="W6" s="4" t="n">
        <v>186</v>
      </c>
    </row>
    <row r="7">
      <c r="A7" s="7" t="inlineStr">
        <is>
          <t>件单价</t>
        </is>
      </c>
      <c r="B7" s="11" t="n">
        <v>84.40000000000001</v>
      </c>
      <c r="C7" s="2" t="n"/>
      <c r="D7" s="9" t="inlineStr">
        <is>
          <t>5.22-5.28</t>
        </is>
      </c>
      <c r="E7" s="10" t="n">
        <v>13555.98</v>
      </c>
      <c r="F7" s="9" t="n">
        <v>141</v>
      </c>
      <c r="G7" s="9" t="n">
        <v>129</v>
      </c>
      <c r="H7" s="9" t="n">
        <v>161</v>
      </c>
      <c r="I7" s="10" t="n">
        <v>13999.95</v>
      </c>
      <c r="J7" s="10" t="n">
        <v>3129.07</v>
      </c>
      <c r="K7" s="10" t="n">
        <v>1385.89</v>
      </c>
      <c r="L7" s="10" t="n">
        <v>-433.09</v>
      </c>
      <c r="M7" s="10" t="n">
        <v>13.84</v>
      </c>
      <c r="N7" s="10" t="n">
        <v>105.09</v>
      </c>
      <c r="O7" s="10" t="n">
        <v>84.2</v>
      </c>
    </row>
    <row r="8">
      <c r="A8" s="7" t="inlineStr">
        <is>
          <t>5.29-6.4 GMV环比</t>
        </is>
      </c>
      <c r="B8" s="12" t="n">
        <v>0.01385751395216239</v>
      </c>
      <c r="C8" s="2" t="n"/>
      <c r="D8" s="9" t="inlineStr">
        <is>
          <t>5.29-6.4</t>
        </is>
      </c>
      <c r="E8" s="10" t="n">
        <v>13743.83</v>
      </c>
      <c r="F8" s="9" t="n">
        <v>157</v>
      </c>
      <c r="G8" s="9" t="n">
        <v>142</v>
      </c>
      <c r="H8" s="9" t="n">
        <v>186</v>
      </c>
      <c r="I8" s="10" t="n">
        <v>14324.76</v>
      </c>
      <c r="J8" s="10" t="n">
        <v>3439.38</v>
      </c>
      <c r="K8" s="10" t="n">
        <v>1466.7</v>
      </c>
      <c r="L8" s="10" t="n">
        <v>-458.34</v>
      </c>
      <c r="M8" s="10" t="n">
        <v>4.66</v>
      </c>
      <c r="N8" s="10" t="n">
        <v>96.79000000000001</v>
      </c>
      <c r="O8" s="10" t="n">
        <v>73.89</v>
      </c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5" t="inlineStr">
        <is>
          <t>分析结论</t>
        </is>
      </c>
      <c r="B10" s="5" t="inlineStr">
        <is>
          <t>说明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13" t="inlineStr">
        <is>
          <t>总览</t>
        </is>
      </c>
      <c r="B11" s="14" t="inlineStr">
        <is>
          <t>全周期 GMV 为 MX$64,146.35，订单数 580，销量 760，客单价 MX$110.60，件单价 MX$84.40。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13" t="inlineStr">
        <is>
          <t>周度变化</t>
        </is>
      </c>
      <c r="B12" s="14" t="inlineStr">
        <is>
          <t>5.29-6.4 GMV 为 MX$13,743.83，较 5.22-5.28 增长 MX$187.85（+1.4%）；订单数 142，较上周 +13；客单价变化 MX$-8.30。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13" t="inlineStr">
        <is>
          <t>第一贡献SKU</t>
        </is>
      </c>
      <c r="B13" s="14" t="inlineStr">
        <is>
          <t>A500-N 全周期 GMV MX$19,216.49，占比 30.0%，销量 248，订单 221，是最核心业绩来源。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13" t="inlineStr">
        <is>
          <t>第二贡献SKU</t>
        </is>
      </c>
      <c r="B14" s="14" t="inlineStr">
        <is>
          <t>A500-A 全周期 GMV MX$8,599.28，占比 13.4%，销量 122，订单 117。 最新周 GMV 环比 +17.9%。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13" t="inlineStr">
        <is>
          <t>增长SKU</t>
        </is>
      </c>
      <c r="B15" s="14" t="inlineStr">
        <is>
          <t>SA320T-A（+MX$820.35，+0.0%）、SA320T-P（+MX$457.28，+351.2%）、SA320T-R（+MX$453.01，+318.1%） 最新周 GMV 增长较明显，可作为增量 SKU 关注。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13" t="inlineStr">
        <is>
          <t>风险SKU</t>
        </is>
      </c>
      <c r="B16" s="14" t="inlineStr">
        <is>
          <t>F025（-MX$1,043.91，-68.9%）、MB-184R（-MX$598.59，-100.0%）、A500-R（-MX$318.18，-29.9%） 最新周 GMV 下滑明显，建议排查库存、价格、流量和活动变化。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5" t="inlineStr">
        <is>
          <t>SKU</t>
        </is>
      </c>
      <c r="B18" s="5" t="inlineStr">
        <is>
          <t>GMV</t>
        </is>
      </c>
      <c r="C18" s="5" t="inlineStr">
        <is>
          <t>GMV占比</t>
        </is>
      </c>
      <c r="D18" s="5" t="inlineStr">
        <is>
          <t>销量</t>
        </is>
      </c>
      <c r="E18" s="5" t="inlineStr">
        <is>
          <t>订单数</t>
        </is>
      </c>
      <c r="F18" s="5" t="inlineStr">
        <is>
          <t>客单价</t>
        </is>
      </c>
      <c r="G18" s="5" t="inlineStr">
        <is>
          <t>件单价</t>
        </is>
      </c>
      <c r="H18" s="5" t="inlineStr">
        <is>
          <t>5.22-5.28 GMV</t>
        </is>
      </c>
      <c r="I18" s="5" t="inlineStr">
        <is>
          <t>5.29-6.4 GMV</t>
        </is>
      </c>
      <c r="J18" s="5" t="inlineStr">
        <is>
          <t>GMV变化</t>
        </is>
      </c>
      <c r="K18" s="5" t="inlineStr">
        <is>
          <t>GMV变化%</t>
        </is>
      </c>
      <c r="L18" s="2" t="n"/>
      <c r="M18" s="2" t="n"/>
      <c r="N18" s="2" t="n"/>
      <c r="O18" s="2" t="n"/>
    </row>
    <row r="19">
      <c r="A19" s="9" t="inlineStr">
        <is>
          <t>A500-N</t>
        </is>
      </c>
      <c r="B19" s="10" t="n">
        <v>19216.49</v>
      </c>
      <c r="C19" s="15" t="n">
        <v>0.299572602005805</v>
      </c>
      <c r="D19" s="9" t="n">
        <v>248</v>
      </c>
      <c r="E19" s="9" t="n">
        <v>221</v>
      </c>
      <c r="F19" s="10" t="n">
        <v>86.95</v>
      </c>
      <c r="G19" s="10" t="n">
        <v>77.48999999999999</v>
      </c>
      <c r="H19" s="10" t="n">
        <v>4278.93</v>
      </c>
      <c r="I19" s="10" t="n">
        <v>4594.63</v>
      </c>
      <c r="J19" s="10" t="n">
        <v>315.7</v>
      </c>
      <c r="K19" s="15" t="n">
        <v>0.07377987135515897</v>
      </c>
      <c r="L19" s="2" t="n"/>
      <c r="M19" s="2" t="n"/>
      <c r="N19" s="2" t="n"/>
      <c r="O19" s="2" t="n"/>
    </row>
    <row r="20">
      <c r="A20" s="9" t="inlineStr">
        <is>
          <t>A500-A</t>
        </is>
      </c>
      <c r="B20" s="10" t="n">
        <v>8599.280000000001</v>
      </c>
      <c r="C20" s="15" t="n">
        <v>0.1340572630489111</v>
      </c>
      <c r="D20" s="9" t="n">
        <v>122</v>
      </c>
      <c r="E20" s="9" t="n">
        <v>117</v>
      </c>
      <c r="F20" s="10" t="n">
        <v>73.5</v>
      </c>
      <c r="G20" s="10" t="n">
        <v>70.48999999999999</v>
      </c>
      <c r="H20" s="10" t="n">
        <v>1833.73</v>
      </c>
      <c r="I20" s="10" t="n">
        <v>2162</v>
      </c>
      <c r="J20" s="10" t="n">
        <v>328.26</v>
      </c>
      <c r="K20" s="15" t="n">
        <v>0.1790129682704412</v>
      </c>
      <c r="L20" s="2" t="n"/>
      <c r="M20" s="2" t="n"/>
      <c r="N20" s="2" t="n"/>
      <c r="O20" s="2" t="n"/>
    </row>
    <row r="21">
      <c r="A21" s="9" t="inlineStr">
        <is>
          <t>MB-184N</t>
        </is>
      </c>
      <c r="B21" s="10" t="n">
        <v>6595.28</v>
      </c>
      <c r="C21" s="15" t="n">
        <v>0.1028160779020138</v>
      </c>
      <c r="D21" s="9" t="n">
        <v>11</v>
      </c>
      <c r="E21" s="9" t="n">
        <v>11</v>
      </c>
      <c r="F21" s="10" t="n">
        <v>599.5700000000001</v>
      </c>
      <c r="G21" s="10" t="n">
        <v>599.5700000000001</v>
      </c>
      <c r="H21" s="10" t="n">
        <v>1182.98</v>
      </c>
      <c r="I21" s="10" t="n">
        <v>1186.77</v>
      </c>
      <c r="J21" s="10" t="n">
        <v>3.79</v>
      </c>
      <c r="K21" s="15" t="n">
        <v>0.003203810641565892</v>
      </c>
      <c r="L21" s="2" t="n"/>
      <c r="M21" s="2" t="n"/>
      <c r="N21" s="2" t="n"/>
      <c r="O21" s="2" t="n"/>
    </row>
    <row r="22">
      <c r="A22" s="9" t="inlineStr">
        <is>
          <t>A500-R</t>
        </is>
      </c>
      <c r="B22" s="10" t="n">
        <v>4645.08</v>
      </c>
      <c r="C22" s="15" t="n">
        <v>0.07241377918591962</v>
      </c>
      <c r="D22" s="9" t="n">
        <v>66</v>
      </c>
      <c r="E22" s="9" t="n">
        <v>62</v>
      </c>
      <c r="F22" s="10" t="n">
        <v>74.92</v>
      </c>
      <c r="G22" s="10" t="n">
        <v>70.38</v>
      </c>
      <c r="H22" s="10" t="n">
        <v>1064.4</v>
      </c>
      <c r="I22" s="10" t="n">
        <v>746.22</v>
      </c>
      <c r="J22" s="10" t="n">
        <v>-318.18</v>
      </c>
      <c r="K22" s="15" t="n">
        <v>-0.2989265441022214</v>
      </c>
      <c r="L22" s="2" t="n"/>
      <c r="M22" s="2" t="n"/>
      <c r="N22" s="2" t="n"/>
      <c r="O22" s="2" t="n"/>
    </row>
    <row r="23">
      <c r="A23" s="9" t="inlineStr">
        <is>
          <t>F025</t>
        </is>
      </c>
      <c r="B23" s="10" t="n">
        <v>4354.1</v>
      </c>
      <c r="C23" s="15" t="n">
        <v>0.06787762998862218</v>
      </c>
      <c r="D23" s="9" t="n">
        <v>29</v>
      </c>
      <c r="E23" s="9" t="n">
        <v>18</v>
      </c>
      <c r="F23" s="10" t="n">
        <v>241.89</v>
      </c>
      <c r="G23" s="10" t="n">
        <v>150.14</v>
      </c>
      <c r="H23" s="10" t="n">
        <v>1514.62</v>
      </c>
      <c r="I23" s="10" t="n">
        <v>470.71</v>
      </c>
      <c r="J23" s="10" t="n">
        <v>-1043.91</v>
      </c>
      <c r="K23" s="15" t="n">
        <v>-0.6892251187600997</v>
      </c>
      <c r="L23" s="2" t="n"/>
      <c r="M23" s="2" t="n"/>
      <c r="N23" s="2" t="n"/>
      <c r="O23" s="2" t="n"/>
    </row>
    <row r="24">
      <c r="A24" s="9" t="inlineStr">
        <is>
          <t>MB-184R</t>
        </is>
      </c>
      <c r="B24" s="10" t="n">
        <v>3680.96</v>
      </c>
      <c r="C24" s="15" t="n">
        <v>0.05738372218979784</v>
      </c>
      <c r="D24" s="9" t="n">
        <v>6</v>
      </c>
      <c r="E24" s="9" t="n">
        <v>6</v>
      </c>
      <c r="F24" s="10" t="n">
        <v>613.49</v>
      </c>
      <c r="G24" s="10" t="n">
        <v>613.49</v>
      </c>
      <c r="H24" s="10" t="n">
        <v>598.59</v>
      </c>
      <c r="I24" s="10" t="n">
        <v>0</v>
      </c>
      <c r="J24" s="10" t="n">
        <v>-598.59</v>
      </c>
      <c r="K24" s="15" t="n">
        <v>-1</v>
      </c>
      <c r="L24" s="2" t="n"/>
      <c r="M24" s="2" t="n"/>
      <c r="N24" s="2" t="n"/>
      <c r="O24" s="2" t="n"/>
    </row>
    <row r="25">
      <c r="A25" s="9" t="inlineStr">
        <is>
          <t>SA320T-A</t>
        </is>
      </c>
      <c r="B25" s="10" t="n">
        <v>2536.43</v>
      </c>
      <c r="C25" s="15" t="n">
        <v>0.03954124003279758</v>
      </c>
      <c r="D25" s="9" t="n">
        <v>48</v>
      </c>
      <c r="E25" s="9" t="n">
        <v>17</v>
      </c>
      <c r="F25" s="10" t="n">
        <v>149.2</v>
      </c>
      <c r="G25" s="10" t="n">
        <v>52.84</v>
      </c>
      <c r="H25" s="10" t="n">
        <v>0</v>
      </c>
      <c r="I25" s="10" t="n">
        <v>820.35</v>
      </c>
      <c r="J25" s="10" t="n">
        <v>820.35</v>
      </c>
      <c r="K25" s="15" t="n">
        <v>0</v>
      </c>
      <c r="L25" s="2" t="n"/>
      <c r="M25" s="2" t="n"/>
      <c r="N25" s="2" t="n"/>
      <c r="O25" s="2" t="n"/>
    </row>
    <row r="26">
      <c r="A26" s="9" t="inlineStr">
        <is>
          <t>SA320T-P</t>
        </is>
      </c>
      <c r="B26" s="10" t="n">
        <v>2460.31</v>
      </c>
      <c r="C26" s="15" t="n">
        <v>0.03835471650218011</v>
      </c>
      <c r="D26" s="9" t="n">
        <v>41</v>
      </c>
      <c r="E26" s="9" t="n">
        <v>11</v>
      </c>
      <c r="F26" s="10" t="n">
        <v>223.66</v>
      </c>
      <c r="G26" s="10" t="n">
        <v>60.01</v>
      </c>
      <c r="H26" s="10" t="n">
        <v>130.19</v>
      </c>
      <c r="I26" s="10" t="n">
        <v>587.46</v>
      </c>
      <c r="J26" s="10" t="n">
        <v>457.28</v>
      </c>
      <c r="K26" s="15" t="n">
        <v>3.512472472226425</v>
      </c>
      <c r="L26" s="2" t="n"/>
      <c r="M26" s="2" t="n"/>
      <c r="N26" s="2" t="n"/>
      <c r="O26" s="2" t="n"/>
    </row>
    <row r="27">
      <c r="A27" s="9" t="inlineStr">
        <is>
          <t>MB-185N</t>
        </is>
      </c>
      <c r="B27" s="10" t="n">
        <v>2123.47</v>
      </c>
      <c r="C27" s="15" t="n">
        <v>0.03310357958981449</v>
      </c>
      <c r="D27" s="9" t="n">
        <v>31</v>
      </c>
      <c r="E27" s="9" t="n">
        <v>30</v>
      </c>
      <c r="F27" s="10" t="n">
        <v>70.78</v>
      </c>
      <c r="G27" s="10" t="n">
        <v>68.5</v>
      </c>
      <c r="H27" s="10" t="n">
        <v>690.78</v>
      </c>
      <c r="I27" s="10" t="n">
        <v>419.15</v>
      </c>
      <c r="J27" s="10" t="n">
        <v>-271.63</v>
      </c>
      <c r="K27" s="15" t="n">
        <v>-0.3932200401314515</v>
      </c>
      <c r="L27" s="2" t="n"/>
      <c r="M27" s="2" t="n"/>
      <c r="N27" s="2" t="n"/>
      <c r="O27" s="2" t="n"/>
    </row>
    <row r="28">
      <c r="A28" s="9" t="inlineStr">
        <is>
          <t>MB-183N</t>
        </is>
      </c>
      <c r="B28" s="10" t="n">
        <v>1871.62</v>
      </c>
      <c r="C28" s="15" t="n">
        <v>0.02917740511268304</v>
      </c>
      <c r="D28" s="9" t="n">
        <v>21</v>
      </c>
      <c r="E28" s="9" t="n">
        <v>21</v>
      </c>
      <c r="F28" s="10" t="n">
        <v>89.12</v>
      </c>
      <c r="G28" s="10" t="n">
        <v>89.12</v>
      </c>
      <c r="H28" s="10" t="n">
        <v>342.13</v>
      </c>
      <c r="I28" s="10" t="n">
        <v>385.85</v>
      </c>
      <c r="J28" s="10" t="n">
        <v>43.72</v>
      </c>
      <c r="K28" s="15" t="n">
        <v>0.1278029543634053</v>
      </c>
      <c r="L28" s="2" t="n"/>
      <c r="M28" s="2" t="n"/>
      <c r="N28" s="2" t="n"/>
      <c r="O28" s="2" t="n"/>
    </row>
    <row r="29">
      <c r="A29" s="9" t="inlineStr">
        <is>
          <t>SA320T-N</t>
        </is>
      </c>
      <c r="B29" s="10" t="n">
        <v>1231.82</v>
      </c>
      <c r="C29" s="15" t="n">
        <v>0.01920330322037404</v>
      </c>
      <c r="D29" s="9" t="n">
        <v>22</v>
      </c>
      <c r="E29" s="9" t="n">
        <v>15</v>
      </c>
      <c r="F29" s="10" t="n">
        <v>82.12</v>
      </c>
      <c r="G29" s="10" t="n">
        <v>55.99</v>
      </c>
      <c r="H29" s="10" t="n">
        <v>329.43</v>
      </c>
      <c r="I29" s="10" t="n">
        <v>153.59</v>
      </c>
      <c r="J29" s="10" t="n">
        <v>-175.85</v>
      </c>
      <c r="K29" s="15" t="n">
        <v>-0.5337869628857931</v>
      </c>
      <c r="L29" s="2" t="n"/>
      <c r="M29" s="2" t="n"/>
      <c r="N29" s="2" t="n"/>
      <c r="O29" s="2" t="n"/>
    </row>
    <row r="30">
      <c r="A30" s="9" t="inlineStr">
        <is>
          <t>SA320T-R</t>
        </is>
      </c>
      <c r="B30" s="10" t="n">
        <v>1124.64</v>
      </c>
      <c r="C30" s="15" t="n">
        <v>0.01753235927453883</v>
      </c>
      <c r="D30" s="9" t="n">
        <v>23</v>
      </c>
      <c r="E30" s="9" t="n">
        <v>19</v>
      </c>
      <c r="F30" s="10" t="n">
        <v>59.19</v>
      </c>
      <c r="G30" s="10" t="n">
        <v>48.9</v>
      </c>
      <c r="H30" s="10" t="n">
        <v>142.41</v>
      </c>
      <c r="I30" s="10" t="n">
        <v>595.42</v>
      </c>
      <c r="J30" s="10" t="n">
        <v>453.01</v>
      </c>
      <c r="K30" s="15" t="n">
        <v>3.181064901778348</v>
      </c>
      <c r="L30" s="2" t="n"/>
      <c r="M30" s="2" t="n"/>
      <c r="N30" s="2" t="n"/>
      <c r="O30" s="2" t="n"/>
    </row>
    <row r="31">
      <c r="A31" s="9" t="inlineStr">
        <is>
          <t>MB-185A</t>
        </is>
      </c>
      <c r="B31" s="10" t="n">
        <v>1121.05</v>
      </c>
      <c r="C31" s="15" t="n">
        <v>0.0174765166556975</v>
      </c>
      <c r="D31" s="9" t="n">
        <v>16</v>
      </c>
      <c r="E31" s="9" t="n">
        <v>16</v>
      </c>
      <c r="F31" s="10" t="n">
        <v>70.06999999999999</v>
      </c>
      <c r="G31" s="10" t="n">
        <v>70.06999999999999</v>
      </c>
      <c r="H31" s="10" t="n">
        <v>243.97</v>
      </c>
      <c r="I31" s="10" t="n">
        <v>375.6</v>
      </c>
      <c r="J31" s="10" t="n">
        <v>131.62</v>
      </c>
      <c r="K31" s="15" t="n">
        <v>0.5394833972538956</v>
      </c>
      <c r="L31" s="2" t="n"/>
      <c r="M31" s="2" t="n"/>
      <c r="N31" s="2" t="n"/>
      <c r="O31" s="2" t="n"/>
    </row>
    <row r="32">
      <c r="A32" s="9" t="inlineStr">
        <is>
          <t>MB-185R</t>
        </is>
      </c>
      <c r="B32" s="10" t="n">
        <v>1109.33</v>
      </c>
      <c r="C32" s="15" t="n">
        <v>0.01729380710844502</v>
      </c>
      <c r="D32" s="9" t="n">
        <v>16</v>
      </c>
      <c r="E32" s="9" t="n">
        <v>16</v>
      </c>
      <c r="F32" s="10" t="n">
        <v>69.33</v>
      </c>
      <c r="G32" s="10" t="n">
        <v>69.33</v>
      </c>
      <c r="H32" s="10" t="n">
        <v>51.11</v>
      </c>
      <c r="I32" s="10" t="n">
        <v>383.33</v>
      </c>
      <c r="J32" s="10" t="n">
        <v>332.21</v>
      </c>
      <c r="K32" s="15" t="n">
        <v>6.499316736101668</v>
      </c>
      <c r="L32" s="2" t="n"/>
      <c r="M32" s="2" t="n"/>
      <c r="N32" s="2" t="n"/>
      <c r="O32" s="2" t="n"/>
    </row>
    <row r="33">
      <c r="A33" s="9" t="inlineStr">
        <is>
          <t>SA320T-V</t>
        </is>
      </c>
      <c r="B33" s="10" t="n">
        <v>884.88</v>
      </c>
      <c r="C33" s="15" t="n">
        <v>0.01379468734797117</v>
      </c>
      <c r="D33" s="9" t="n">
        <v>18</v>
      </c>
      <c r="E33" s="9" t="n">
        <v>12</v>
      </c>
      <c r="F33" s="10" t="n">
        <v>73.73999999999999</v>
      </c>
      <c r="G33" s="10" t="n">
        <v>49.16</v>
      </c>
      <c r="H33" s="10" t="n">
        <v>432.97</v>
      </c>
      <c r="I33" s="10" t="n">
        <v>327.24</v>
      </c>
      <c r="J33" s="10" t="n">
        <v>-105.73</v>
      </c>
      <c r="K33" s="15" t="n">
        <v>-0.2441978592612121</v>
      </c>
      <c r="L33" s="2" t="n"/>
      <c r="M33" s="2" t="n"/>
      <c r="N33" s="2" t="n"/>
      <c r="O33" s="2" t="n"/>
    </row>
    <row r="34">
      <c r="A34" s="9" t="inlineStr">
        <is>
          <t>MB-183B</t>
        </is>
      </c>
      <c r="B34" s="10" t="n">
        <v>687.17</v>
      </c>
      <c r="C34" s="15" t="n">
        <v>0.01071257652553867</v>
      </c>
      <c r="D34" s="9" t="n">
        <v>9</v>
      </c>
      <c r="E34" s="9" t="n">
        <v>8</v>
      </c>
      <c r="F34" s="10" t="n">
        <v>85.90000000000001</v>
      </c>
      <c r="G34" s="10" t="n">
        <v>76.34999999999999</v>
      </c>
      <c r="H34" s="10" t="n">
        <v>302.36</v>
      </c>
      <c r="I34" s="10" t="n">
        <v>161.28</v>
      </c>
      <c r="J34" s="10" t="n">
        <v>-141.08</v>
      </c>
      <c r="K34" s="15" t="n">
        <v>-0.4666062528318986</v>
      </c>
      <c r="L34" s="2" t="n"/>
      <c r="M34" s="2" t="n"/>
      <c r="N34" s="2" t="n"/>
      <c r="O34" s="2" t="n"/>
    </row>
    <row r="35">
      <c r="A35" s="9" t="inlineStr">
        <is>
          <t>SA320T-Y</t>
        </is>
      </c>
      <c r="B35" s="10" t="n">
        <v>506.48</v>
      </c>
      <c r="C35" s="15" t="n">
        <v>0.007895665528538461</v>
      </c>
      <c r="D35" s="9" t="n">
        <v>10</v>
      </c>
      <c r="E35" s="9" t="n">
        <v>9</v>
      </c>
      <c r="F35" s="10" t="n">
        <v>56.28</v>
      </c>
      <c r="G35" s="10" t="n">
        <v>50.65</v>
      </c>
      <c r="H35" s="10" t="n">
        <v>0</v>
      </c>
      <c r="I35" s="10" t="n">
        <v>75.78</v>
      </c>
      <c r="J35" s="10" t="n">
        <v>75.78</v>
      </c>
      <c r="K35" s="15" t="n">
        <v>0</v>
      </c>
      <c r="L35" s="2" t="n"/>
      <c r="M35" s="2" t="n"/>
      <c r="N35" s="2" t="n"/>
      <c r="O35" s="2" t="n"/>
    </row>
    <row r="36">
      <c r="A36" s="9" t="inlineStr">
        <is>
          <t>SA315TA</t>
        </is>
      </c>
      <c r="B36" s="10" t="n">
        <v>465.98</v>
      </c>
      <c r="C36" s="15" t="n">
        <v>0.007264353661891852</v>
      </c>
      <c r="D36" s="9" t="n">
        <v>11</v>
      </c>
      <c r="E36" s="9" t="n">
        <v>11</v>
      </c>
      <c r="F36" s="10" t="n">
        <v>42.36</v>
      </c>
      <c r="G36" s="10" t="n">
        <v>42.36</v>
      </c>
      <c r="H36" s="10" t="n">
        <v>275.64</v>
      </c>
      <c r="I36" s="10" t="n">
        <v>190.35</v>
      </c>
      <c r="J36" s="10" t="n">
        <v>-85.29000000000001</v>
      </c>
      <c r="K36" s="15" t="n">
        <v>-0.3094282813976134</v>
      </c>
      <c r="L36" s="2" t="n"/>
      <c r="M36" s="2" t="n"/>
      <c r="N36" s="2" t="n"/>
      <c r="O36" s="2" t="n"/>
    </row>
    <row r="37">
      <c r="A37" s="9" t="inlineStr">
        <is>
          <t>MB-183R</t>
        </is>
      </c>
      <c r="B37" s="10" t="n">
        <v>429.37</v>
      </c>
      <c r="C37" s="15" t="n">
        <v>0.006693580706464207</v>
      </c>
      <c r="D37" s="9" t="n">
        <v>6</v>
      </c>
      <c r="E37" s="9" t="n">
        <v>6</v>
      </c>
      <c r="F37" s="10" t="n">
        <v>71.56</v>
      </c>
      <c r="G37" s="10" t="n">
        <v>71.56</v>
      </c>
      <c r="H37" s="10" t="n">
        <v>0</v>
      </c>
      <c r="I37" s="10" t="n">
        <v>96.45999999999999</v>
      </c>
      <c r="J37" s="10" t="n">
        <v>96.45999999999999</v>
      </c>
      <c r="K37" s="15" t="n">
        <v>0</v>
      </c>
      <c r="L37" s="2" t="n"/>
      <c r="M37" s="2" t="n"/>
      <c r="N37" s="2" t="n"/>
      <c r="O37" s="2" t="n"/>
    </row>
    <row r="38">
      <c r="A38" s="9" t="inlineStr">
        <is>
          <t>F025ACC</t>
        </is>
      </c>
      <c r="B38" s="10" t="n">
        <v>349.19</v>
      </c>
      <c r="C38" s="15" t="n">
        <v>0.005443635013921581</v>
      </c>
      <c r="D38" s="9" t="n">
        <v>2</v>
      </c>
      <c r="E38" s="9" t="n">
        <v>2</v>
      </c>
      <c r="F38" s="10" t="n">
        <v>174.59</v>
      </c>
      <c r="G38" s="10" t="n">
        <v>174.59</v>
      </c>
      <c r="H38" s="10" t="n">
        <v>0</v>
      </c>
      <c r="I38" s="10" t="n">
        <v>0</v>
      </c>
      <c r="J38" s="10" t="n">
        <v>0</v>
      </c>
      <c r="K38" s="15" t="n">
        <v>0</v>
      </c>
      <c r="L38" s="2" t="n"/>
      <c r="M38" s="2" t="n"/>
      <c r="N38" s="2" t="n"/>
      <c r="O38" s="2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27.6" customHeight="1">
      <c r="A1" s="5" t="inlineStr">
        <is>
          <t>SKU</t>
        </is>
      </c>
      <c r="B1" s="5" t="inlineStr">
        <is>
          <t>商品名称</t>
        </is>
      </c>
      <c r="C1" s="5" t="inlineStr">
        <is>
          <t>GMV</t>
        </is>
      </c>
      <c r="D1" s="5" t="inlineStr">
        <is>
          <t>GMV占比</t>
        </is>
      </c>
      <c r="E1" s="5" t="inlineStr">
        <is>
          <t>销量</t>
        </is>
      </c>
      <c r="F1" s="5" t="inlineStr">
        <is>
          <t>订单数</t>
        </is>
      </c>
      <c r="G1" s="5" t="inlineStr">
        <is>
          <t>订单行数</t>
        </is>
      </c>
      <c r="H1" s="5" t="inlineStr">
        <is>
          <t>客单价</t>
        </is>
      </c>
      <c r="I1" s="5" t="inlineStr">
        <is>
          <t>件单价</t>
        </is>
      </c>
      <c r="J1" s="5" t="inlineStr">
        <is>
          <t>5.1-5.7 GMV</t>
        </is>
      </c>
      <c r="K1" s="5" t="inlineStr">
        <is>
          <t>5.8-5.14 GMV</t>
        </is>
      </c>
      <c r="L1" s="5" t="inlineStr">
        <is>
          <t>5.15-5.21 GMV</t>
        </is>
      </c>
      <c r="M1" s="5" t="inlineStr">
        <is>
          <t>5.22-5.28 GMV</t>
        </is>
      </c>
      <c r="N1" s="5" t="inlineStr">
        <is>
          <t>5.29-6.4 GMV</t>
        </is>
      </c>
      <c r="O1" s="5" t="inlineStr">
        <is>
          <t>GMV变化</t>
        </is>
      </c>
      <c r="P1" s="5" t="inlineStr">
        <is>
          <t>GMV变化%</t>
        </is>
      </c>
    </row>
    <row r="2">
      <c r="A2" s="16" t="inlineStr">
        <is>
          <t>A500-N</t>
        </is>
      </c>
      <c r="B2" s="16" t="inlineStr">
        <is>
          <t>Bocina Bluetooth Portátil Barra de Sonido, Inalámbrica con FM Radio, TWS, USB/TF, Graves Potentes para Hogar y Exteriores</t>
        </is>
      </c>
      <c r="C2" s="17" t="n">
        <v>19216.49</v>
      </c>
      <c r="D2" s="18" t="n">
        <v>0.299572602005805</v>
      </c>
      <c r="E2" s="16" t="n">
        <v>248</v>
      </c>
      <c r="F2" s="16" t="n">
        <v>221</v>
      </c>
      <c r="G2" s="16" t="n">
        <v>221</v>
      </c>
      <c r="H2" s="17" t="n">
        <v>86.95</v>
      </c>
      <c r="I2" s="17" t="n">
        <v>77.48999999999999</v>
      </c>
      <c r="J2" s="17" t="n">
        <v>3294.26</v>
      </c>
      <c r="K2" s="17" t="n">
        <v>3275.49</v>
      </c>
      <c r="L2" s="17" t="n">
        <v>3773.19</v>
      </c>
      <c r="M2" s="17" t="n">
        <v>4278.93</v>
      </c>
      <c r="N2" s="17" t="n">
        <v>4594.63</v>
      </c>
      <c r="O2" s="17" t="n">
        <v>315.7</v>
      </c>
      <c r="P2" s="18" t="n">
        <v>0.07377987135515897</v>
      </c>
    </row>
    <row r="3">
      <c r="A3" s="16" t="inlineStr">
        <is>
          <t>A500-A</t>
        </is>
      </c>
      <c r="B3" s="16" t="inlineStr">
        <is>
          <t>Bocina Bluetooth Portátil Barra de Sonido, Inalámbrica con FM Radio, TWS, USB/TF, Graves Potentes para Hogar y Exteriores</t>
        </is>
      </c>
      <c r="C3" s="17" t="n">
        <v>8599.280000000001</v>
      </c>
      <c r="D3" s="18" t="n">
        <v>0.1340572630489111</v>
      </c>
      <c r="E3" s="16" t="n">
        <v>122</v>
      </c>
      <c r="F3" s="16" t="n">
        <v>117</v>
      </c>
      <c r="G3" s="16" t="n">
        <v>117</v>
      </c>
      <c r="H3" s="17" t="n">
        <v>73.5</v>
      </c>
      <c r="I3" s="17" t="n">
        <v>70.48999999999999</v>
      </c>
      <c r="J3" s="17" t="n">
        <v>1321.7</v>
      </c>
      <c r="K3" s="17" t="n">
        <v>1026.48</v>
      </c>
      <c r="L3" s="17" t="n">
        <v>2255.38</v>
      </c>
      <c r="M3" s="17" t="n">
        <v>1833.73</v>
      </c>
      <c r="N3" s="17" t="n">
        <v>2162</v>
      </c>
      <c r="O3" s="17" t="n">
        <v>328.26</v>
      </c>
      <c r="P3" s="18" t="n">
        <v>0.1790129682704412</v>
      </c>
    </row>
    <row r="4">
      <c r="A4" s="16" t="inlineStr">
        <is>
          <t>MB-184N</t>
        </is>
      </c>
      <c r="B4" s="16" t="inlineStr">
        <is>
          <t>Linkbits Portable Bluetooth Speaker - 800W Peak Power, 50W Full-Range Audio with Dual Bass System &amp; Deep Bass Membranes, Powerful &amp; Distortion-Free Sound, IP65 Waterproof Dustproof, TWS Support &amp; 6H Battery for Outdoor/Party</t>
        </is>
      </c>
      <c r="C4" s="17" t="n">
        <v>6595.28</v>
      </c>
      <c r="D4" s="18" t="n">
        <v>0.1028160779020138</v>
      </c>
      <c r="E4" s="16" t="n">
        <v>11</v>
      </c>
      <c r="F4" s="16" t="n">
        <v>11</v>
      </c>
      <c r="G4" s="16" t="n">
        <v>11</v>
      </c>
      <c r="H4" s="17" t="n">
        <v>599.5700000000001</v>
      </c>
      <c r="I4" s="17" t="n">
        <v>599.5700000000001</v>
      </c>
      <c r="J4" s="17" t="n">
        <v>0</v>
      </c>
      <c r="K4" s="17" t="n">
        <v>1216.99</v>
      </c>
      <c r="L4" s="17" t="n">
        <v>3008.53</v>
      </c>
      <c r="M4" s="17" t="n">
        <v>1182.98</v>
      </c>
      <c r="N4" s="17" t="n">
        <v>1186.77</v>
      </c>
      <c r="O4" s="17" t="n">
        <v>3.79</v>
      </c>
      <c r="P4" s="18" t="n">
        <v>0.003203810641565892</v>
      </c>
    </row>
    <row r="5">
      <c r="A5" s="16" t="inlineStr">
        <is>
          <t>A500-R</t>
        </is>
      </c>
      <c r="B5" s="16" t="inlineStr">
        <is>
          <t>Bocina Bluetooth Portátil Barra de Sonido, Inalámbrica con FM Radio, TWS, USB/TF, Graves Potentes para Hogar y Exteriores</t>
        </is>
      </c>
      <c r="C5" s="17" t="n">
        <v>4645.08</v>
      </c>
      <c r="D5" s="18" t="n">
        <v>0.07241377918591962</v>
      </c>
      <c r="E5" s="16" t="n">
        <v>66</v>
      </c>
      <c r="F5" s="16" t="n">
        <v>62</v>
      </c>
      <c r="G5" s="16" t="n">
        <v>62</v>
      </c>
      <c r="H5" s="17" t="n">
        <v>74.92</v>
      </c>
      <c r="I5" s="17" t="n">
        <v>70.38</v>
      </c>
      <c r="J5" s="17" t="n">
        <v>418.18</v>
      </c>
      <c r="K5" s="17" t="n">
        <v>814.95</v>
      </c>
      <c r="L5" s="17" t="n">
        <v>1601.32</v>
      </c>
      <c r="M5" s="17" t="n">
        <v>1064.4</v>
      </c>
      <c r="N5" s="17" t="n">
        <v>746.22</v>
      </c>
      <c r="O5" s="17" t="n">
        <v>-318.18</v>
      </c>
      <c r="P5" s="18" t="n">
        <v>-0.2989265441022214</v>
      </c>
    </row>
    <row r="6">
      <c r="A6" s="16" t="inlineStr">
        <is>
          <t>F025</t>
        </is>
      </c>
      <c r="B6" s="16" t="inlineStr">
        <is>
          <t>Sopladora Turbo Inalámbrica 130000 RPM - Aire Comprimido Eléctrico con Batería 8400mAh, Carga Rápida 2.5H, Ajuste Infinito de Velocidad, Kit Limpieza Multiuso para PC, Coche, Hogar y Exteriores</t>
        </is>
      </c>
      <c r="C6" s="17" t="n">
        <v>4354.1</v>
      </c>
      <c r="D6" s="18" t="n">
        <v>0.06787762998862218</v>
      </c>
      <c r="E6" s="16" t="n">
        <v>29</v>
      </c>
      <c r="F6" s="16" t="n">
        <v>18</v>
      </c>
      <c r="G6" s="16" t="n">
        <v>18</v>
      </c>
      <c r="H6" s="17" t="n">
        <v>241.89</v>
      </c>
      <c r="I6" s="17" t="n">
        <v>150.14</v>
      </c>
      <c r="J6" s="17" t="n">
        <v>1799.79</v>
      </c>
      <c r="K6" s="17" t="n">
        <v>269.28</v>
      </c>
      <c r="L6" s="17" t="n">
        <v>299.71</v>
      </c>
      <c r="M6" s="17" t="n">
        <v>1514.62</v>
      </c>
      <c r="N6" s="17" t="n">
        <v>470.71</v>
      </c>
      <c r="O6" s="17" t="n">
        <v>-1043.91</v>
      </c>
      <c r="P6" s="18" t="n">
        <v>-0.6892251187600997</v>
      </c>
    </row>
    <row r="7">
      <c r="A7" s="16" t="inlineStr">
        <is>
          <t>MB-184R</t>
        </is>
      </c>
      <c r="B7" s="16" t="inlineStr">
        <is>
          <t>Linkbits Portable Bluetooth Speaker - 800W Peak Power, 50W Full-Range Audio with Dual Bass System &amp; Deep Bass Membranes, Powerful &amp; Distortion-Free Sound, IP65 Waterproof Dustproof, TWS Support &amp; 6H Battery for Outdoor/Party</t>
        </is>
      </c>
      <c r="C7" s="17" t="n">
        <v>3680.96</v>
      </c>
      <c r="D7" s="18" t="n">
        <v>0.05738372218979784</v>
      </c>
      <c r="E7" s="16" t="n">
        <v>6</v>
      </c>
      <c r="F7" s="16" t="n">
        <v>6</v>
      </c>
      <c r="G7" s="16" t="n">
        <v>6</v>
      </c>
      <c r="H7" s="17" t="n">
        <v>613.49</v>
      </c>
      <c r="I7" s="17" t="n">
        <v>613.49</v>
      </c>
      <c r="J7" s="17" t="n">
        <v>1855.65</v>
      </c>
      <c r="K7" s="17" t="n">
        <v>598.59</v>
      </c>
      <c r="L7" s="17" t="n">
        <v>628.13</v>
      </c>
      <c r="M7" s="17" t="n">
        <v>598.59</v>
      </c>
      <c r="N7" s="17" t="n">
        <v>0</v>
      </c>
      <c r="O7" s="17" t="n">
        <v>-598.59</v>
      </c>
      <c r="P7" s="18" t="n">
        <v>-1</v>
      </c>
    </row>
    <row r="8">
      <c r="A8" s="16" t="inlineStr">
        <is>
          <t>SA320T-A</t>
        </is>
      </c>
      <c r="B8" s="16" t="inlineStr">
        <is>
          <t>Altavoz inalámbrico portátil con Luces RGB, Radio FM y Manija - 5h Duración, TWS, TF Card, Compacto y Recargable via USB，Perfecto para viajes, fiestas y gaming</t>
        </is>
      </c>
      <c r="C8" s="17" t="n">
        <v>2536.43</v>
      </c>
      <c r="D8" s="18" t="n">
        <v>0.03954124003279758</v>
      </c>
      <c r="E8" s="16" t="n">
        <v>48</v>
      </c>
      <c r="F8" s="16" t="n">
        <v>17</v>
      </c>
      <c r="G8" s="16" t="n">
        <v>17</v>
      </c>
      <c r="H8" s="17" t="n">
        <v>149.2</v>
      </c>
      <c r="I8" s="17" t="n">
        <v>52.84</v>
      </c>
      <c r="J8" s="17" t="n">
        <v>364.01</v>
      </c>
      <c r="K8" s="17" t="n">
        <v>1243.22</v>
      </c>
      <c r="L8" s="17" t="n">
        <v>108.85</v>
      </c>
      <c r="M8" s="17" t="n">
        <v>0</v>
      </c>
      <c r="N8" s="17" t="n">
        <v>820.35</v>
      </c>
      <c r="O8" s="17" t="n">
        <v>820.35</v>
      </c>
      <c r="P8" s="18" t="n">
        <v>0</v>
      </c>
    </row>
    <row r="9">
      <c r="A9" s="16" t="inlineStr">
        <is>
          <t>SA320T-P</t>
        </is>
      </c>
      <c r="B9" s="16" t="inlineStr">
        <is>
          <t>Altavoz inalámbrico portátil con Luces RGB, Radio FM y Manija - 5h Duración, TWS, TF Card, Compacto y Recargable via USB，Perfecto para viajes, fiestas y gaming</t>
        </is>
      </c>
      <c r="C9" s="17" t="n">
        <v>2460.31</v>
      </c>
      <c r="D9" s="18" t="n">
        <v>0.03835471650218011</v>
      </c>
      <c r="E9" s="16" t="n">
        <v>41</v>
      </c>
      <c r="F9" s="16" t="n">
        <v>11</v>
      </c>
      <c r="G9" s="16" t="n">
        <v>11</v>
      </c>
      <c r="H9" s="17" t="n">
        <v>223.66</v>
      </c>
      <c r="I9" s="17" t="n">
        <v>60.01</v>
      </c>
      <c r="J9" s="17" t="n">
        <v>0</v>
      </c>
      <c r="K9" s="17" t="n">
        <v>124.67</v>
      </c>
      <c r="L9" s="17" t="n">
        <v>1617.99</v>
      </c>
      <c r="M9" s="17" t="n">
        <v>130.19</v>
      </c>
      <c r="N9" s="17" t="n">
        <v>587.46</v>
      </c>
      <c r="O9" s="17" t="n">
        <v>457.28</v>
      </c>
      <c r="P9" s="18" t="n">
        <v>3.512472472226425</v>
      </c>
    </row>
    <row r="10">
      <c r="A10" s="16" t="inlineStr">
        <is>
          <t>MB-185N</t>
        </is>
      </c>
      <c r="B10" s="16" t="inlineStr">
        <is>
          <t>Bocina Radio FM/Reproductor, Compatible con Tarjeta TF, USB, Bluetooth, Aplicable para celular, computadora, Ipad y consola</t>
        </is>
      </c>
      <c r="C10" s="17" t="n">
        <v>2123.47</v>
      </c>
      <c r="D10" s="18" t="n">
        <v>0.03310357958981449</v>
      </c>
      <c r="E10" s="16" t="n">
        <v>31</v>
      </c>
      <c r="F10" s="16" t="n">
        <v>30</v>
      </c>
      <c r="G10" s="16" t="n">
        <v>30</v>
      </c>
      <c r="H10" s="17" t="n">
        <v>70.78</v>
      </c>
      <c r="I10" s="17" t="n">
        <v>68.5</v>
      </c>
      <c r="J10" s="17" t="n">
        <v>648.8099999999999</v>
      </c>
      <c r="K10" s="17" t="n">
        <v>234.35</v>
      </c>
      <c r="L10" s="17" t="n">
        <v>130.38</v>
      </c>
      <c r="M10" s="17" t="n">
        <v>690.78</v>
      </c>
      <c r="N10" s="17" t="n">
        <v>419.15</v>
      </c>
      <c r="O10" s="17" t="n">
        <v>-271.63</v>
      </c>
      <c r="P10" s="18" t="n">
        <v>-0.3932200401314515</v>
      </c>
    </row>
    <row r="11">
      <c r="A11" s="16" t="inlineStr">
        <is>
          <t>MB-183N</t>
        </is>
      </c>
      <c r="B11" s="16" t="inlineStr">
        <is>
          <t>Linkbits Altavoz Bluetooth Portátil con Stereo Inalámbrico TWS Impermeable y a Prueba de Polvo IP65 Altavoz de Graves de Rango Completo de 52mm con Doble Unidad Ligero de 215g para Camping Senderismo y Fiestas al Aire Libre</t>
        </is>
      </c>
      <c r="C11" s="17" t="n">
        <v>1871.62</v>
      </c>
      <c r="D11" s="18" t="n">
        <v>0.02917740511268304</v>
      </c>
      <c r="E11" s="16" t="n">
        <v>21</v>
      </c>
      <c r="F11" s="16" t="n">
        <v>21</v>
      </c>
      <c r="G11" s="16" t="n">
        <v>21</v>
      </c>
      <c r="H11" s="17" t="n">
        <v>89.12</v>
      </c>
      <c r="I11" s="17" t="n">
        <v>89.12</v>
      </c>
      <c r="J11" s="17" t="n">
        <v>354.2</v>
      </c>
      <c r="K11" s="17" t="n">
        <v>422.11</v>
      </c>
      <c r="L11" s="17" t="n">
        <v>367.33</v>
      </c>
      <c r="M11" s="17" t="n">
        <v>342.13</v>
      </c>
      <c r="N11" s="17" t="n">
        <v>385.85</v>
      </c>
      <c r="O11" s="17" t="n">
        <v>43.72</v>
      </c>
      <c r="P11" s="18" t="n">
        <v>0.1278029543634053</v>
      </c>
    </row>
    <row r="12">
      <c r="A12" s="16" t="inlineStr">
        <is>
          <t>SA320T-N</t>
        </is>
      </c>
      <c r="B12" s="16" t="inlineStr">
        <is>
          <t>Altavoz inalámbrico portátil con Luces RGB, Radio FM y Manija - 5h Duración, TWS, TF Card, Compacto y Recargable via USB，Perfecto para viajes, fiestas y gaming</t>
        </is>
      </c>
      <c r="C12" s="17" t="n">
        <v>1231.82</v>
      </c>
      <c r="D12" s="18" t="n">
        <v>0.01920330322037404</v>
      </c>
      <c r="E12" s="16" t="n">
        <v>22</v>
      </c>
      <c r="F12" s="16" t="n">
        <v>15</v>
      </c>
      <c r="G12" s="16" t="n">
        <v>15</v>
      </c>
      <c r="H12" s="17" t="n">
        <v>82.12</v>
      </c>
      <c r="I12" s="17" t="n">
        <v>55.99</v>
      </c>
      <c r="J12" s="17" t="n">
        <v>120.45</v>
      </c>
      <c r="K12" s="17" t="n">
        <v>379</v>
      </c>
      <c r="L12" s="17" t="n">
        <v>249.35</v>
      </c>
      <c r="M12" s="17" t="n">
        <v>329.43</v>
      </c>
      <c r="N12" s="17" t="n">
        <v>153.59</v>
      </c>
      <c r="O12" s="17" t="n">
        <v>-175.85</v>
      </c>
      <c r="P12" s="18" t="n">
        <v>-0.5337869628857931</v>
      </c>
    </row>
    <row r="13">
      <c r="A13" s="16" t="inlineStr">
        <is>
          <t>SA320T-R</t>
        </is>
      </c>
      <c r="B13" s="16" t="inlineStr">
        <is>
          <t>Altavoz inalámbrico portátil con Luces RGB, Radio FM y Manija - 5h Duración, TWS, TF Card, Compacto y Recargable via USB，Perfecto para viajes, fiestas y gaming</t>
        </is>
      </c>
      <c r="C13" s="17" t="n">
        <v>1124.64</v>
      </c>
      <c r="D13" s="18" t="n">
        <v>0.01753235927453883</v>
      </c>
      <c r="E13" s="16" t="n">
        <v>23</v>
      </c>
      <c r="F13" s="16" t="n">
        <v>19</v>
      </c>
      <c r="G13" s="16" t="n">
        <v>19</v>
      </c>
      <c r="H13" s="17" t="n">
        <v>59.19</v>
      </c>
      <c r="I13" s="17" t="n">
        <v>48.9</v>
      </c>
      <c r="J13" s="17" t="n">
        <v>114.56</v>
      </c>
      <c r="K13" s="17" t="n">
        <v>0</v>
      </c>
      <c r="L13" s="17" t="n">
        <v>272.26</v>
      </c>
      <c r="M13" s="17" t="n">
        <v>142.41</v>
      </c>
      <c r="N13" s="17" t="n">
        <v>595.42</v>
      </c>
      <c r="O13" s="17" t="n">
        <v>453.01</v>
      </c>
      <c r="P13" s="18" t="n">
        <v>3.181064901778348</v>
      </c>
    </row>
    <row r="14">
      <c r="A14" s="16" t="inlineStr">
        <is>
          <t>MB-185A</t>
        </is>
      </c>
      <c r="B14" s="16" t="inlineStr">
        <is>
          <t>Bocina Radio FM/Reproductor, Compatible con Tarjeta TF, USB, Bluetooth, Aplicable para celular, computadora, Ipad y consola</t>
        </is>
      </c>
      <c r="C14" s="17" t="n">
        <v>1121.05</v>
      </c>
      <c r="D14" s="18" t="n">
        <v>0.0174765166556975</v>
      </c>
      <c r="E14" s="16" t="n">
        <v>16</v>
      </c>
      <c r="F14" s="16" t="n">
        <v>16</v>
      </c>
      <c r="G14" s="16" t="n">
        <v>16</v>
      </c>
      <c r="H14" s="17" t="n">
        <v>70.06999999999999</v>
      </c>
      <c r="I14" s="17" t="n">
        <v>70.06999999999999</v>
      </c>
      <c r="J14" s="17" t="n">
        <v>137.96</v>
      </c>
      <c r="K14" s="17" t="n">
        <v>154.52</v>
      </c>
      <c r="L14" s="17" t="n">
        <v>209</v>
      </c>
      <c r="M14" s="17" t="n">
        <v>243.97</v>
      </c>
      <c r="N14" s="17" t="n">
        <v>375.6</v>
      </c>
      <c r="O14" s="17" t="n">
        <v>131.62</v>
      </c>
      <c r="P14" s="18" t="n">
        <v>0.5394833972538956</v>
      </c>
    </row>
    <row r="15">
      <c r="A15" s="16" t="inlineStr">
        <is>
          <t>MB-185R</t>
        </is>
      </c>
      <c r="B15" s="16" t="inlineStr">
        <is>
          <t>Bocina Radio FM/Reproductor, Compatible con Tarjeta TF, USB, Bluetooth, Aplicable para celular, computadora, Ipad y consola</t>
        </is>
      </c>
      <c r="C15" s="17" t="n">
        <v>1109.33</v>
      </c>
      <c r="D15" s="18" t="n">
        <v>0.01729380710844502</v>
      </c>
      <c r="E15" s="16" t="n">
        <v>16</v>
      </c>
      <c r="F15" s="16" t="n">
        <v>16</v>
      </c>
      <c r="G15" s="16" t="n">
        <v>16</v>
      </c>
      <c r="H15" s="17" t="n">
        <v>69.33</v>
      </c>
      <c r="I15" s="17" t="n">
        <v>69.33</v>
      </c>
      <c r="J15" s="17" t="n">
        <v>36.9</v>
      </c>
      <c r="K15" s="17" t="n">
        <v>421.08</v>
      </c>
      <c r="L15" s="17" t="n">
        <v>216.92</v>
      </c>
      <c r="M15" s="17" t="n">
        <v>51.11</v>
      </c>
      <c r="N15" s="17" t="n">
        <v>383.33</v>
      </c>
      <c r="O15" s="17" t="n">
        <v>332.21</v>
      </c>
      <c r="P15" s="18" t="n">
        <v>6.499316736101668</v>
      </c>
    </row>
    <row r="16">
      <c r="A16" s="16" t="inlineStr">
        <is>
          <t>SA320T-V</t>
        </is>
      </c>
      <c r="B16" s="16" t="inlineStr">
        <is>
          <t>Altavoz inalámbrico portátil con Luces RGB, Radio FM y Manija - 5h Duración, TWS, TF Card, Compacto y Recargable via USB，Perfecto para viajes, fiestas y gaming</t>
        </is>
      </c>
      <c r="C16" s="17" t="n">
        <v>884.88</v>
      </c>
      <c r="D16" s="18" t="n">
        <v>0.01379468734797117</v>
      </c>
      <c r="E16" s="16" t="n">
        <v>18</v>
      </c>
      <c r="F16" s="16" t="n">
        <v>12</v>
      </c>
      <c r="G16" s="16" t="n">
        <v>12</v>
      </c>
      <c r="H16" s="17" t="n">
        <v>73.73999999999999</v>
      </c>
      <c r="I16" s="17" t="n">
        <v>49.16</v>
      </c>
      <c r="J16" s="17" t="n">
        <v>0</v>
      </c>
      <c r="K16" s="17" t="n">
        <v>0</v>
      </c>
      <c r="L16" s="17" t="n">
        <v>124.67</v>
      </c>
      <c r="M16" s="17" t="n">
        <v>432.97</v>
      </c>
      <c r="N16" s="17" t="n">
        <v>327.24</v>
      </c>
      <c r="O16" s="17" t="n">
        <v>-105.73</v>
      </c>
      <c r="P16" s="18" t="n">
        <v>-0.2441978592612121</v>
      </c>
    </row>
    <row r="17">
      <c r="A17" s="16" t="inlineStr">
        <is>
          <t>MB-183B</t>
        </is>
      </c>
      <c r="B17" s="16" t="inlineStr">
        <is>
          <t>Linkbits Altavoz Bluetooth Portátil con Stereo Inalámbrico TWS Impermeable y a Prueba de Polvo IP65 Altavoz de Graves de Rango Completo de 52mm con Doble Unidad Ligero de 215g para Camping Senderismo y Fiestas al Aire Libre</t>
        </is>
      </c>
      <c r="C17" s="17" t="n">
        <v>687.17</v>
      </c>
      <c r="D17" s="18" t="n">
        <v>0.01071257652553867</v>
      </c>
      <c r="E17" s="16" t="n">
        <v>9</v>
      </c>
      <c r="F17" s="16" t="n">
        <v>8</v>
      </c>
      <c r="G17" s="16" t="n">
        <v>8</v>
      </c>
      <c r="H17" s="17" t="n">
        <v>85.90000000000001</v>
      </c>
      <c r="I17" s="17" t="n">
        <v>76.34999999999999</v>
      </c>
      <c r="J17" s="17" t="n">
        <v>0</v>
      </c>
      <c r="K17" s="17" t="n">
        <v>132.82</v>
      </c>
      <c r="L17" s="17" t="n">
        <v>90.70999999999999</v>
      </c>
      <c r="M17" s="17" t="n">
        <v>302.36</v>
      </c>
      <c r="N17" s="17" t="n">
        <v>161.28</v>
      </c>
      <c r="O17" s="17" t="n">
        <v>-141.08</v>
      </c>
      <c r="P17" s="18" t="n">
        <v>-0.4666062528318986</v>
      </c>
    </row>
    <row r="18">
      <c r="A18" s="16" t="inlineStr">
        <is>
          <t>SA320T-Y</t>
        </is>
      </c>
      <c r="B18" s="16" t="inlineStr">
        <is>
          <t>Altavoz inalámbrico portátil con Luces RGB, Radio FM y Manija - 5h Duración, TWS, TF Card, Compacto y Recargable via USB，Perfecto para viajes, fiestas y gaming</t>
        </is>
      </c>
      <c r="C18" s="17" t="n">
        <v>506.48</v>
      </c>
      <c r="D18" s="18" t="n">
        <v>0.007895665528538461</v>
      </c>
      <c r="E18" s="16" t="n">
        <v>10</v>
      </c>
      <c r="F18" s="16" t="n">
        <v>9</v>
      </c>
      <c r="G18" s="16" t="n">
        <v>9</v>
      </c>
      <c r="H18" s="17" t="n">
        <v>56.28</v>
      </c>
      <c r="I18" s="17" t="n">
        <v>50.65</v>
      </c>
      <c r="J18" s="17" t="n">
        <v>163</v>
      </c>
      <c r="K18" s="17" t="n">
        <v>267.7</v>
      </c>
      <c r="L18" s="17" t="n">
        <v>0</v>
      </c>
      <c r="M18" s="17" t="n">
        <v>0</v>
      </c>
      <c r="N18" s="17" t="n">
        <v>75.78</v>
      </c>
      <c r="O18" s="17" t="n">
        <v>75.78</v>
      </c>
      <c r="P18" s="18" t="n">
        <v>0</v>
      </c>
    </row>
    <row r="19">
      <c r="A19" s="16" t="inlineStr">
        <is>
          <t>SA315TA</t>
        </is>
      </c>
      <c r="B19" s="16" t="inlineStr">
        <is>
          <t>Altavoz inalámbrico portátil con Luces RGB, Radio FM y Manija - 5h Duración, TWS, TF Card, Compacto y Recargable via USB，Perfecto para viajes, fiestas y gaming</t>
        </is>
      </c>
      <c r="C19" s="17" t="n">
        <v>465.98</v>
      </c>
      <c r="D19" s="18" t="n">
        <v>0.007264353661891852</v>
      </c>
      <c r="E19" s="16" t="n">
        <v>11</v>
      </c>
      <c r="F19" s="16" t="n">
        <v>11</v>
      </c>
      <c r="G19" s="16" t="n">
        <v>11</v>
      </c>
      <c r="H19" s="17" t="n">
        <v>42.36</v>
      </c>
      <c r="I19" s="17" t="n">
        <v>42.36</v>
      </c>
      <c r="J19" s="17" t="n">
        <v>0</v>
      </c>
      <c r="K19" s="17" t="n">
        <v>0</v>
      </c>
      <c r="L19" s="17" t="n">
        <v>0</v>
      </c>
      <c r="M19" s="17" t="n">
        <v>275.64</v>
      </c>
      <c r="N19" s="17" t="n">
        <v>190.35</v>
      </c>
      <c r="O19" s="17" t="n">
        <v>-85.29000000000001</v>
      </c>
      <c r="P19" s="18" t="n">
        <v>-0.3094282813976134</v>
      </c>
    </row>
    <row r="20">
      <c r="A20" s="16" t="inlineStr">
        <is>
          <t>MB-183R</t>
        </is>
      </c>
      <c r="B20" s="16" t="inlineStr">
        <is>
          <t>Linkbits Altavoz Bluetooth Portátil con Stereo Inalámbrico TWS Impermeable y a Prueba de Polvo IP65 Altavoz de Graves de Rango Completo de 52mm con Doble Unidad Ligero de 215g para Camping Senderismo y Fiestas al Aire Libre</t>
        </is>
      </c>
      <c r="C20" s="17" t="n">
        <v>429.37</v>
      </c>
      <c r="D20" s="18" t="n">
        <v>0.006693580706464207</v>
      </c>
      <c r="E20" s="16" t="n">
        <v>6</v>
      </c>
      <c r="F20" s="16" t="n">
        <v>6</v>
      </c>
      <c r="G20" s="16" t="n">
        <v>6</v>
      </c>
      <c r="H20" s="17" t="n">
        <v>71.56</v>
      </c>
      <c r="I20" s="17" t="n">
        <v>71.56</v>
      </c>
      <c r="J20" s="17" t="n">
        <v>199.05</v>
      </c>
      <c r="K20" s="17" t="n">
        <v>68.51000000000001</v>
      </c>
      <c r="L20" s="17" t="n">
        <v>65.34999999999999</v>
      </c>
      <c r="M20" s="17" t="n">
        <v>0</v>
      </c>
      <c r="N20" s="17" t="n">
        <v>96.45999999999999</v>
      </c>
      <c r="O20" s="17" t="n">
        <v>96.45999999999999</v>
      </c>
      <c r="P20" s="18" t="n">
        <v>0</v>
      </c>
    </row>
    <row r="21">
      <c r="A21" s="16" t="inlineStr">
        <is>
          <t>F025ACC</t>
        </is>
      </c>
      <c r="B21" s="16" t="inlineStr">
        <is>
          <t>Sopladora Turbo Inalámbrica 130000 RPM - Aire Comprimido Eléctrico con Batería 8400mAh, Carga Rápida 2.5H, Ajuste Infinito de Velocidad, Kit Limpieza Multiuso para PC, Coche, Hogar y Exteriores</t>
        </is>
      </c>
      <c r="C21" s="17" t="n">
        <v>349.19</v>
      </c>
      <c r="D21" s="18" t="n">
        <v>0.005443635013921581</v>
      </c>
      <c r="E21" s="16" t="n">
        <v>2</v>
      </c>
      <c r="F21" s="16" t="n">
        <v>2</v>
      </c>
      <c r="G21" s="16" t="n">
        <v>2</v>
      </c>
      <c r="H21" s="17" t="n">
        <v>174.59</v>
      </c>
      <c r="I21" s="17" t="n">
        <v>174.59</v>
      </c>
      <c r="J21" s="17" t="n">
        <v>349.19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8" t="n">
        <v>0</v>
      </c>
    </row>
    <row r="22">
      <c r="A22" s="16" t="inlineStr">
        <is>
          <t>SA315TY</t>
        </is>
      </c>
      <c r="B22" s="16" t="inlineStr">
        <is>
          <t>Altavoz inalámbrico portátil con Luces RGB, Radio FM y Manija - 5h Duración, TWS, TF Card, Compacto y Recargable via USB，Perfecto para viajes, fiestas y gaming</t>
        </is>
      </c>
      <c r="C22" s="17" t="n">
        <v>153.41</v>
      </c>
      <c r="D22" s="18" t="n">
        <v>0.002391499398074063</v>
      </c>
      <c r="E22" s="16" t="n">
        <v>4</v>
      </c>
      <c r="F22" s="16" t="n">
        <v>3</v>
      </c>
      <c r="G22" s="16" t="n">
        <v>3</v>
      </c>
      <c r="H22" s="17" t="n">
        <v>51.14</v>
      </c>
      <c r="I22" s="17" t="n">
        <v>38.35</v>
      </c>
      <c r="J22" s="17" t="n">
        <v>0</v>
      </c>
      <c r="K22" s="17" t="n">
        <v>0</v>
      </c>
      <c r="L22" s="17" t="n">
        <v>0</v>
      </c>
      <c r="M22" s="17" t="n">
        <v>141.74</v>
      </c>
      <c r="N22" s="17" t="n">
        <v>11.66</v>
      </c>
      <c r="O22" s="17" t="n">
        <v>-130.08</v>
      </c>
      <c r="P22" s="18" t="n">
        <v>-0.917713048459741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5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5" t="inlineStr">
        <is>
          <t>周期</t>
        </is>
      </c>
      <c r="B1" s="5" t="inlineStr">
        <is>
          <t>SKU</t>
        </is>
      </c>
      <c r="C1" s="5" t="inlineStr">
        <is>
          <t>商品名称</t>
        </is>
      </c>
      <c r="D1" s="5" t="inlineStr">
        <is>
          <t>GMV</t>
        </is>
      </c>
      <c r="E1" s="5" t="inlineStr">
        <is>
          <t>GMV占比</t>
        </is>
      </c>
      <c r="F1" s="5" t="inlineStr">
        <is>
          <t>销量</t>
        </is>
      </c>
      <c r="G1" s="5" t="inlineStr">
        <is>
          <t>订单数</t>
        </is>
      </c>
      <c r="H1" s="5" t="inlineStr">
        <is>
          <t>订单行数</t>
        </is>
      </c>
      <c r="I1" s="5" t="inlineStr">
        <is>
          <t>客单价</t>
        </is>
      </c>
      <c r="J1" s="5" t="inlineStr">
        <is>
          <t>件单价</t>
        </is>
      </c>
      <c r="K1" s="5" t="inlineStr">
        <is>
          <t>base</t>
        </is>
      </c>
      <c r="L1" s="5" t="inlineStr">
        <is>
          <t>shipping</t>
        </is>
      </c>
    </row>
    <row r="2">
      <c r="A2" s="16" t="inlineStr">
        <is>
          <t>5.1-5.7</t>
        </is>
      </c>
      <c r="B2" s="16" t="inlineStr">
        <is>
          <t>A500-N</t>
        </is>
      </c>
      <c r="C2" s="16" t="inlineStr">
        <is>
          <t>Bocina Bluetooth Portátil Barra de Sonido, Inalámbrica con FM Radio, TWS, USB/TF, Graves Potentes para Hogar y Exteriores</t>
        </is>
      </c>
      <c r="D2" s="17" t="n">
        <v>3294.26</v>
      </c>
      <c r="E2" s="18" t="n">
        <v>0.2947163654123325</v>
      </c>
      <c r="F2" s="16" t="n">
        <v>42</v>
      </c>
      <c r="G2" s="16" t="n">
        <v>32</v>
      </c>
      <c r="H2" s="16" t="n">
        <v>32</v>
      </c>
      <c r="I2" s="17" t="n">
        <v>102.95</v>
      </c>
      <c r="J2" s="17" t="n">
        <v>78.43000000000001</v>
      </c>
      <c r="K2" s="17" t="n">
        <v>3378.6</v>
      </c>
      <c r="L2" s="17" t="n">
        <v>749.9400000000001</v>
      </c>
    </row>
    <row r="3">
      <c r="A3" s="16" t="inlineStr">
        <is>
          <t>5.1-5.7</t>
        </is>
      </c>
      <c r="B3" s="16" t="inlineStr">
        <is>
          <t>MB-184R</t>
        </is>
      </c>
      <c r="C3" s="16" t="inlineStr">
        <is>
          <t>Linkbits Portable Bluetooth Speaker - 800W Peak Power, 50W Full-Range Audio with Dual Bass System &amp; Deep Bass Membranes, Powerful &amp; Distortion-Free Sound, IP65 Waterproof Dustproof, TWS Support &amp; 6H Battery for Outdoor/Party</t>
        </is>
      </c>
      <c r="D3" s="17" t="n">
        <v>1855.65</v>
      </c>
      <c r="E3" s="18" t="n">
        <v>0.1660133086059175</v>
      </c>
      <c r="F3" s="16" t="n">
        <v>3</v>
      </c>
      <c r="G3" s="16" t="n">
        <v>3</v>
      </c>
      <c r="H3" s="16" t="n">
        <v>3</v>
      </c>
      <c r="I3" s="17" t="n">
        <v>618.55</v>
      </c>
      <c r="J3" s="17" t="n">
        <v>618.55</v>
      </c>
      <c r="K3" s="17" t="n">
        <v>1839.5</v>
      </c>
      <c r="L3" s="17" t="n">
        <v>0</v>
      </c>
    </row>
    <row r="4">
      <c r="A4" s="16" t="inlineStr">
        <is>
          <t>5.1-5.7</t>
        </is>
      </c>
      <c r="B4" s="16" t="inlineStr">
        <is>
          <t>F025</t>
        </is>
      </c>
      <c r="C4" s="16" t="inlineStr">
        <is>
          <t>Sopladora Turbo Inalámbrica 130000 RPM - Aire Comprimido Eléctrico con Batería 8400mAh, Carga Rápida 2.5H, Ajuste Infinito de Velocidad, Kit Limpieza Multiuso para PC, Coche, Hogar y Exteriores</t>
        </is>
      </c>
      <c r="D4" s="17" t="n">
        <v>1799.79</v>
      </c>
      <c r="E4" s="18" t="n">
        <v>0.161015703862973</v>
      </c>
      <c r="F4" s="16" t="n">
        <v>12</v>
      </c>
      <c r="G4" s="16" t="n">
        <v>7</v>
      </c>
      <c r="H4" s="16" t="n">
        <v>7</v>
      </c>
      <c r="I4" s="17" t="n">
        <v>257.11</v>
      </c>
      <c r="J4" s="17" t="n">
        <v>149.98</v>
      </c>
      <c r="K4" s="17" t="n">
        <v>1810</v>
      </c>
      <c r="L4" s="17" t="n">
        <v>103.44</v>
      </c>
    </row>
    <row r="5">
      <c r="A5" s="16" t="inlineStr">
        <is>
          <t>5.1-5.7</t>
        </is>
      </c>
      <c r="B5" s="16" t="inlineStr">
        <is>
          <t>A500-A</t>
        </is>
      </c>
      <c r="C5" s="16" t="inlineStr">
        <is>
          <t>Bocina Bluetooth Portátil Barra de Sonido, Inalámbrica con FM Radio, TWS, USB/TF, Graves Potentes para Hogar y Exteriores</t>
        </is>
      </c>
      <c r="D5" s="17" t="n">
        <v>1321.7</v>
      </c>
      <c r="E5" s="18" t="n">
        <v>0.1182444475881998</v>
      </c>
      <c r="F5" s="16" t="n">
        <v>18</v>
      </c>
      <c r="G5" s="16" t="n">
        <v>17</v>
      </c>
      <c r="H5" s="16" t="n">
        <v>17</v>
      </c>
      <c r="I5" s="17" t="n">
        <v>77.75</v>
      </c>
      <c r="J5" s="17" t="n">
        <v>73.43000000000001</v>
      </c>
      <c r="K5" s="17" t="n">
        <v>1412.16</v>
      </c>
      <c r="L5" s="17" t="n">
        <v>362.04</v>
      </c>
    </row>
    <row r="6">
      <c r="A6" s="16" t="inlineStr">
        <is>
          <t>5.1-5.7</t>
        </is>
      </c>
      <c r="B6" s="16" t="inlineStr">
        <is>
          <t>MB-185N</t>
        </is>
      </c>
      <c r="C6" s="16" t="inlineStr">
        <is>
          <t>Bocina Radio FM/Reproductor, Compatible con Tarjeta TF, USB, Bluetooth, Aplicable para celular, computadora, Ipad y consola</t>
        </is>
      </c>
      <c r="D6" s="17" t="n">
        <v>648.8099999999999</v>
      </c>
      <c r="E6" s="18" t="n">
        <v>0.05804514763648423</v>
      </c>
      <c r="F6" s="16" t="n">
        <v>9</v>
      </c>
      <c r="G6" s="16" t="n">
        <v>9</v>
      </c>
      <c r="H6" s="16" t="n">
        <v>9</v>
      </c>
      <c r="I6" s="17" t="n">
        <v>72.09</v>
      </c>
      <c r="J6" s="17" t="n">
        <v>72.09</v>
      </c>
      <c r="K6" s="17" t="n">
        <v>689</v>
      </c>
      <c r="L6" s="17" t="n">
        <v>206.88</v>
      </c>
    </row>
    <row r="7">
      <c r="A7" s="16" t="inlineStr">
        <is>
          <t>5.1-5.7</t>
        </is>
      </c>
      <c r="B7" s="16" t="inlineStr">
        <is>
          <t>A500-R</t>
        </is>
      </c>
      <c r="C7" s="16" t="inlineStr">
        <is>
          <t>Bocina Bluetooth Portátil Barra de Sonido, Inalámbrica con FM Radio, TWS, USB/TF, Graves Potentes para Hogar y Exteriores</t>
        </is>
      </c>
      <c r="D7" s="17" t="n">
        <v>418.18</v>
      </c>
      <c r="E7" s="18" t="n">
        <v>0.03741163209327575</v>
      </c>
      <c r="F7" s="16" t="n">
        <v>9</v>
      </c>
      <c r="G7" s="16" t="n">
        <v>8</v>
      </c>
      <c r="H7" s="16" t="n">
        <v>8</v>
      </c>
      <c r="I7" s="17" t="n">
        <v>52.27</v>
      </c>
      <c r="J7" s="17" t="n">
        <v>46.46</v>
      </c>
      <c r="K7" s="17" t="n">
        <v>708.97</v>
      </c>
      <c r="L7" s="17" t="n">
        <v>103.44</v>
      </c>
    </row>
    <row r="8">
      <c r="A8" s="16" t="inlineStr">
        <is>
          <t>5.1-5.7</t>
        </is>
      </c>
      <c r="B8" s="16" t="inlineStr">
        <is>
          <t>SA320T-A</t>
        </is>
      </c>
      <c r="C8" s="16" t="inlineStr">
        <is>
          <t>Altavoz inalámbrico portátil con Luces RGB, Radio FM y Manija - 5h Duración, TWS, TF Card, Compacto y Recargable via USB，Perfecto para viajes, fiestas y gaming</t>
        </is>
      </c>
      <c r="D8" s="17" t="n">
        <v>364.01</v>
      </c>
      <c r="E8" s="18" t="n">
        <v>0.03256578019476558</v>
      </c>
      <c r="F8" s="16" t="n">
        <v>7</v>
      </c>
      <c r="G8" s="16" t="n">
        <v>4</v>
      </c>
      <c r="H8" s="16" t="n">
        <v>4</v>
      </c>
      <c r="I8" s="17" t="n">
        <v>91</v>
      </c>
      <c r="J8" s="17" t="n">
        <v>52</v>
      </c>
      <c r="K8" s="17" t="n">
        <v>402</v>
      </c>
      <c r="L8" s="17" t="n">
        <v>63.93</v>
      </c>
    </row>
    <row r="9">
      <c r="A9" s="16" t="inlineStr">
        <is>
          <t>5.1-5.7</t>
        </is>
      </c>
      <c r="B9" s="16" t="inlineStr">
        <is>
          <t>MB-183N</t>
        </is>
      </c>
      <c r="C9" s="16" t="inlineStr">
        <is>
          <t>Linkbits Altavoz Bluetooth Portátil con Stereo Inalámbrico TWS Impermeable y a Prueba de Polvo IP65 Altavoz de Graves de Rango Completo de 52mm con Doble Unidad Ligero de 215g para Camping Senderismo y Fiestas al Aire Libre</t>
        </is>
      </c>
      <c r="D9" s="17" t="n">
        <v>354.2</v>
      </c>
      <c r="E9" s="18" t="n">
        <v>0.03168849890219509</v>
      </c>
      <c r="F9" s="16" t="n">
        <v>4</v>
      </c>
      <c r="G9" s="16" t="n">
        <v>4</v>
      </c>
      <c r="H9" s="16" t="n">
        <v>4</v>
      </c>
      <c r="I9" s="17" t="n">
        <v>88.55</v>
      </c>
      <c r="J9" s="17" t="n">
        <v>88.55</v>
      </c>
      <c r="K9" s="17" t="n">
        <v>350</v>
      </c>
      <c r="L9" s="17" t="n">
        <v>103.44</v>
      </c>
    </row>
    <row r="10">
      <c r="A10" s="16" t="inlineStr">
        <is>
          <t>5.1-5.7</t>
        </is>
      </c>
      <c r="B10" s="16" t="inlineStr">
        <is>
          <t>F025ACC</t>
        </is>
      </c>
      <c r="C10" s="16" t="inlineStr">
        <is>
          <t>Sopladora Turbo Inalámbrica 130000 RPM - Aire Comprimido Eléctrico con Batería 8400mAh, Carga Rápida 2.5H, Ajuste Infinito de Velocidad, Kit Limpieza Multiuso para PC, Coche, Hogar y Exteriores</t>
        </is>
      </c>
      <c r="D10" s="17" t="n">
        <v>349.19</v>
      </c>
      <c r="E10" s="18" t="n">
        <v>0.03123977569404237</v>
      </c>
      <c r="F10" s="16" t="n">
        <v>2</v>
      </c>
      <c r="G10" s="16" t="n">
        <v>2</v>
      </c>
      <c r="H10" s="16" t="n">
        <v>2</v>
      </c>
      <c r="I10" s="17" t="n">
        <v>174.59</v>
      </c>
      <c r="J10" s="17" t="n">
        <v>174.59</v>
      </c>
      <c r="K10" s="17" t="n">
        <v>335</v>
      </c>
      <c r="L10" s="17" t="n">
        <v>51.72</v>
      </c>
    </row>
    <row r="11">
      <c r="A11" s="16" t="inlineStr">
        <is>
          <t>5.1-5.7</t>
        </is>
      </c>
      <c r="B11" s="16" t="inlineStr">
        <is>
          <t>MB-183R</t>
        </is>
      </c>
      <c r="C11" s="16" t="inlineStr">
        <is>
          <t>Linkbits Altavoz Bluetooth Portátil con Stereo Inalámbrico TWS Impermeable y a Prueba de Polvo IP65 Altavoz de Graves de Rango Completo de 52mm con Doble Unidad Ligero de 215g para Camping Senderismo y Fiestas al Aire Libre</t>
        </is>
      </c>
      <c r="D11" s="17" t="n">
        <v>199.05</v>
      </c>
      <c r="E11" s="18" t="n">
        <v>0.01780799164609203</v>
      </c>
      <c r="F11" s="16" t="n">
        <v>3</v>
      </c>
      <c r="G11" s="16" t="n">
        <v>3</v>
      </c>
      <c r="H11" s="16" t="n">
        <v>3</v>
      </c>
      <c r="I11" s="17" t="n">
        <v>66.34999999999999</v>
      </c>
      <c r="J11" s="17" t="n">
        <v>66.34999999999999</v>
      </c>
      <c r="K11" s="17" t="n">
        <v>208</v>
      </c>
      <c r="L11" s="17" t="n">
        <v>77.58</v>
      </c>
    </row>
    <row r="12">
      <c r="A12" s="16" t="inlineStr">
        <is>
          <t>5.1-5.7</t>
        </is>
      </c>
      <c r="B12" s="16" t="inlineStr">
        <is>
          <t>SA320T-Y</t>
        </is>
      </c>
      <c r="C12" s="16" t="inlineStr">
        <is>
          <t>Altavoz inalámbrico portátil con Luces RGB, Radio FM y Manija - 5h Duración, TWS, TF Card, Compacto y Recargable via USB，Perfecto para viajes, fiestas y gaming</t>
        </is>
      </c>
      <c r="D12" s="17" t="n">
        <v>163</v>
      </c>
      <c r="E12" s="18" t="n">
        <v>0.01458254252991446</v>
      </c>
      <c r="F12" s="16" t="n">
        <v>3</v>
      </c>
      <c r="G12" s="16" t="n">
        <v>2</v>
      </c>
      <c r="H12" s="16" t="n">
        <v>2</v>
      </c>
      <c r="I12" s="17" t="n">
        <v>81.5</v>
      </c>
      <c r="J12" s="17" t="n">
        <v>54.33</v>
      </c>
      <c r="K12" s="17" t="n">
        <v>165</v>
      </c>
      <c r="L12" s="17" t="n">
        <v>51.72</v>
      </c>
    </row>
    <row r="13">
      <c r="A13" s="16" t="inlineStr">
        <is>
          <t>5.1-5.7</t>
        </is>
      </c>
      <c r="B13" s="16" t="inlineStr">
        <is>
          <t>MB-185A</t>
        </is>
      </c>
      <c r="C13" s="16" t="inlineStr">
        <is>
          <t>Bocina Radio FM/Reproductor, Compatible con Tarjeta TF, USB, Bluetooth, Aplicable para celular, computadora, Ipad y consola</t>
        </is>
      </c>
      <c r="D13" s="17" t="n">
        <v>137.96</v>
      </c>
      <c r="E13" s="18" t="n">
        <v>0.01234253635047601</v>
      </c>
      <c r="F13" s="16" t="n">
        <v>2</v>
      </c>
      <c r="G13" s="16" t="n">
        <v>2</v>
      </c>
      <c r="H13" s="16" t="n">
        <v>2</v>
      </c>
      <c r="I13" s="17" t="n">
        <v>68.98</v>
      </c>
      <c r="J13" s="17" t="n">
        <v>68.98</v>
      </c>
      <c r="K13" s="17" t="n">
        <v>143.5</v>
      </c>
      <c r="L13" s="17" t="n">
        <v>51.72</v>
      </c>
    </row>
    <row r="14">
      <c r="A14" s="16" t="inlineStr">
        <is>
          <t>5.1-5.7</t>
        </is>
      </c>
      <c r="B14" s="16" t="inlineStr">
        <is>
          <t>SA320T-N</t>
        </is>
      </c>
      <c r="C14" s="16" t="inlineStr">
        <is>
          <t>Altavoz inalámbrico portátil con Luces RGB, Radio FM y Manija - 5h Duración, TWS, TF Card, Compacto y Recargable via USB，Perfecto para viajes, fiestas y gaming</t>
        </is>
      </c>
      <c r="D14" s="17" t="n">
        <v>120.45</v>
      </c>
      <c r="E14" s="18" t="n">
        <v>0.01077634411262975</v>
      </c>
      <c r="F14" s="16" t="n">
        <v>2</v>
      </c>
      <c r="G14" s="16" t="n">
        <v>2</v>
      </c>
      <c r="H14" s="16" t="n">
        <v>2</v>
      </c>
      <c r="I14" s="17" t="n">
        <v>60.23</v>
      </c>
      <c r="J14" s="17" t="n">
        <v>60.23</v>
      </c>
      <c r="K14" s="17" t="n">
        <v>122</v>
      </c>
      <c r="L14" s="17" t="n">
        <v>51.72</v>
      </c>
    </row>
    <row r="15">
      <c r="A15" s="16" t="inlineStr">
        <is>
          <t>5.1-5.7</t>
        </is>
      </c>
      <c r="B15" s="16" t="inlineStr">
        <is>
          <t>SA320T-R</t>
        </is>
      </c>
      <c r="C15" s="16" t="inlineStr">
        <is>
          <t>Altavoz inalámbrico portátil con Luces RGB, Radio FM y Manija - 5h Duración, TWS, TF Card, Compacto y Recargable via USB，Perfecto para viajes, fiestas y gaming</t>
        </is>
      </c>
      <c r="D15" s="17" t="n">
        <v>114.56</v>
      </c>
      <c r="E15" s="18" t="n">
        <v>0.01024879888909671</v>
      </c>
      <c r="F15" s="16" t="n">
        <v>2</v>
      </c>
      <c r="G15" s="16" t="n">
        <v>2</v>
      </c>
      <c r="H15" s="16" t="n">
        <v>2</v>
      </c>
      <c r="I15" s="17" t="n">
        <v>57.28</v>
      </c>
      <c r="J15" s="17" t="n">
        <v>57.28</v>
      </c>
      <c r="K15" s="17" t="n">
        <v>130</v>
      </c>
      <c r="L15" s="17" t="n">
        <v>39.52</v>
      </c>
    </row>
    <row r="16">
      <c r="A16" s="16" t="inlineStr">
        <is>
          <t>5.1-5.7</t>
        </is>
      </c>
      <c r="B16" s="16" t="inlineStr">
        <is>
          <t>MB-185R</t>
        </is>
      </c>
      <c r="C16" s="16" t="inlineStr">
        <is>
          <t>Bocina Radio FM/Reproductor, Compatible con Tarjeta TF, USB, Bluetooth, Aplicable para celular, computadora, Ipad y consola</t>
        </is>
      </c>
      <c r="D16" s="17" t="n">
        <v>36.9</v>
      </c>
      <c r="E16" s="18" t="n">
        <v>0.003301126481605404</v>
      </c>
      <c r="F16" s="16" t="n">
        <v>1</v>
      </c>
      <c r="G16" s="16" t="n">
        <v>1</v>
      </c>
      <c r="H16" s="16" t="n">
        <v>1</v>
      </c>
      <c r="I16" s="17" t="n">
        <v>36.9</v>
      </c>
      <c r="J16" s="17" t="n">
        <v>36.9</v>
      </c>
      <c r="K16" s="17" t="n">
        <v>66</v>
      </c>
      <c r="L16" s="17" t="n">
        <v>0</v>
      </c>
    </row>
    <row r="17">
      <c r="A17" s="16" t="inlineStr">
        <is>
          <t>5.8-5.14</t>
        </is>
      </c>
      <c r="B17" s="16" t="inlineStr">
        <is>
          <t>A500-N</t>
        </is>
      </c>
      <c r="C17" s="16" t="inlineStr">
        <is>
          <t>Bocina Bluetooth Portátil Barra de Sonido, Inalámbrica con FM Radio, TWS, USB/TF, Graves Potentes para Hogar y Exteriores</t>
        </is>
      </c>
      <c r="D17" s="17" t="n">
        <v>3275.49</v>
      </c>
      <c r="E17" s="18" t="n">
        <v>0.3075647448786993</v>
      </c>
      <c r="F17" s="16" t="n">
        <v>41</v>
      </c>
      <c r="G17" s="16" t="n">
        <v>36</v>
      </c>
      <c r="H17" s="16" t="n">
        <v>36</v>
      </c>
      <c r="I17" s="17" t="n">
        <v>90.98999999999999</v>
      </c>
      <c r="J17" s="17" t="n">
        <v>79.89</v>
      </c>
      <c r="K17" s="17" t="n">
        <v>3318.92</v>
      </c>
      <c r="L17" s="17" t="n">
        <v>879.24</v>
      </c>
    </row>
    <row r="18">
      <c r="A18" s="16" t="inlineStr">
        <is>
          <t>5.8-5.14</t>
        </is>
      </c>
      <c r="B18" s="16" t="inlineStr">
        <is>
          <t>SA320T-A</t>
        </is>
      </c>
      <c r="C18" s="16" t="inlineStr">
        <is>
          <t>Altavoz inalámbrico portátil con Luces RGB, Radio FM y Manija - 5h Duración, TWS, TF Card, Compacto y Recargable via USB，Perfecto para viajes, fiestas y gaming</t>
        </is>
      </c>
      <c r="D18" s="17" t="n">
        <v>1243.22</v>
      </c>
      <c r="E18" s="18" t="n">
        <v>0.1167367393877139</v>
      </c>
      <c r="F18" s="16" t="n">
        <v>21</v>
      </c>
      <c r="G18" s="16" t="n">
        <v>1</v>
      </c>
      <c r="H18" s="16" t="n">
        <v>1</v>
      </c>
      <c r="I18" s="17" t="n">
        <v>1243.22</v>
      </c>
      <c r="J18" s="17" t="n">
        <v>59.2</v>
      </c>
      <c r="K18" s="17" t="n">
        <v>1197</v>
      </c>
      <c r="L18" s="17" t="n">
        <v>0</v>
      </c>
    </row>
    <row r="19">
      <c r="A19" s="16" t="inlineStr">
        <is>
          <t>5.8-5.14</t>
        </is>
      </c>
      <c r="B19" s="16" t="inlineStr">
        <is>
          <t>MB-184N</t>
        </is>
      </c>
      <c r="C19" s="16" t="inlineStr">
        <is>
          <t>Linkbits Portable Bluetooth Speaker - 800W Peak Power, 50W Full-Range Audio with Dual Bass System &amp; Deep Bass Membranes, Powerful &amp; Distortion-Free Sound, IP65 Waterproof Dustproof, TWS Support &amp; 6H Battery for Outdoor/Party</t>
        </is>
      </c>
      <c r="D19" s="17" t="n">
        <v>1216.99</v>
      </c>
      <c r="E19" s="18" t="n">
        <v>0.114274286246344</v>
      </c>
      <c r="F19" s="16" t="n">
        <v>2</v>
      </c>
      <c r="G19" s="16" t="n">
        <v>2</v>
      </c>
      <c r="H19" s="16" t="n">
        <v>2</v>
      </c>
      <c r="I19" s="17" t="n">
        <v>608.5</v>
      </c>
      <c r="J19" s="17" t="n">
        <v>608.5</v>
      </c>
      <c r="K19" s="17" t="n">
        <v>1218.06</v>
      </c>
      <c r="L19" s="17" t="n">
        <v>0</v>
      </c>
    </row>
    <row r="20">
      <c r="A20" s="16" t="inlineStr">
        <is>
          <t>5.8-5.14</t>
        </is>
      </c>
      <c r="B20" s="16" t="inlineStr">
        <is>
          <t>A500-A</t>
        </is>
      </c>
      <c r="C20" s="16" t="inlineStr">
        <is>
          <t>Bocina Bluetooth Portátil Barra de Sonido, Inalámbrica con FM Radio, TWS, USB/TF, Graves Potentes para Hogar y Exteriores</t>
        </is>
      </c>
      <c r="D20" s="17" t="n">
        <v>1026.48</v>
      </c>
      <c r="E20" s="18" t="n">
        <v>0.09638493906586953</v>
      </c>
      <c r="F20" s="16" t="n">
        <v>15</v>
      </c>
      <c r="G20" s="16" t="n">
        <v>14</v>
      </c>
      <c r="H20" s="16" t="n">
        <v>14</v>
      </c>
      <c r="I20" s="17" t="n">
        <v>73.31999999999999</v>
      </c>
      <c r="J20" s="17" t="n">
        <v>68.43000000000001</v>
      </c>
      <c r="K20" s="17" t="n">
        <v>1114.4</v>
      </c>
      <c r="L20" s="17" t="n">
        <v>284.46</v>
      </c>
    </row>
    <row r="21">
      <c r="A21" s="16" t="inlineStr">
        <is>
          <t>5.8-5.14</t>
        </is>
      </c>
      <c r="B21" s="16" t="inlineStr">
        <is>
          <t>A500-R</t>
        </is>
      </c>
      <c r="C21" s="16" t="inlineStr">
        <is>
          <t>Bocina Bluetooth Portátil Barra de Sonido, Inalámbrica con FM Radio, TWS, USB/TF, Graves Potentes para Hogar y Exteriores</t>
        </is>
      </c>
      <c r="D21" s="17" t="n">
        <v>814.95</v>
      </c>
      <c r="E21" s="18" t="n">
        <v>0.07652334293274869</v>
      </c>
      <c r="F21" s="16" t="n">
        <v>11</v>
      </c>
      <c r="G21" s="16" t="n">
        <v>9</v>
      </c>
      <c r="H21" s="16" t="n">
        <v>9</v>
      </c>
      <c r="I21" s="17" t="n">
        <v>90.55</v>
      </c>
      <c r="J21" s="17" t="n">
        <v>74.09</v>
      </c>
      <c r="K21" s="17" t="n">
        <v>874</v>
      </c>
      <c r="L21" s="17" t="n">
        <v>181.02</v>
      </c>
    </row>
    <row r="22">
      <c r="A22" s="16" t="inlineStr">
        <is>
          <t>5.8-5.14</t>
        </is>
      </c>
      <c r="B22" s="16" t="inlineStr">
        <is>
          <t>MB-184R</t>
        </is>
      </c>
      <c r="C22" s="16" t="inlineStr">
        <is>
          <t>Linkbits Portable Bluetooth Speaker - 800W Peak Power, 50W Full-Range Audio with Dual Bass System &amp; Deep Bass Membranes, Powerful &amp; Distortion-Free Sound, IP65 Waterproof Dustproof, TWS Support &amp; 6H Battery for Outdoor/Party</t>
        </is>
      </c>
      <c r="D22" s="17" t="n">
        <v>598.59</v>
      </c>
      <c r="E22" s="18" t="n">
        <v>0.05620694251688149</v>
      </c>
      <c r="F22" s="16" t="n">
        <v>1</v>
      </c>
      <c r="G22" s="16" t="n">
        <v>1</v>
      </c>
      <c r="H22" s="16" t="n">
        <v>1</v>
      </c>
      <c r="I22" s="17" t="n">
        <v>598.59</v>
      </c>
      <c r="J22" s="17" t="n">
        <v>598.59</v>
      </c>
      <c r="K22" s="17" t="n">
        <v>592</v>
      </c>
      <c r="L22" s="17" t="n">
        <v>0</v>
      </c>
    </row>
    <row r="23">
      <c r="A23" s="16" t="inlineStr">
        <is>
          <t>5.8-5.14</t>
        </is>
      </c>
      <c r="B23" s="16" t="inlineStr">
        <is>
          <t>MB-183N</t>
        </is>
      </c>
      <c r="C23" s="16" t="inlineStr">
        <is>
          <t>Linkbits Altavoz Bluetooth Portátil con Stereo Inalámbrico TWS Impermeable y a Prueba de Polvo IP65 Altavoz de Graves de Rango Completo de 52mm con Doble Unidad Ligero de 215g para Camping Senderismo y Fiestas al Aire Libre</t>
        </is>
      </c>
      <c r="D23" s="17" t="n">
        <v>422.11</v>
      </c>
      <c r="E23" s="18" t="n">
        <v>0.03963526528492351</v>
      </c>
      <c r="F23" s="16" t="n">
        <v>5</v>
      </c>
      <c r="G23" s="16" t="n">
        <v>5</v>
      </c>
      <c r="H23" s="16" t="n">
        <v>5</v>
      </c>
      <c r="I23" s="17" t="n">
        <v>84.42</v>
      </c>
      <c r="J23" s="17" t="n">
        <v>84.42</v>
      </c>
      <c r="K23" s="17" t="n">
        <v>445</v>
      </c>
      <c r="L23" s="17" t="n">
        <v>103.44</v>
      </c>
    </row>
    <row r="24">
      <c r="A24" s="16" t="inlineStr">
        <is>
          <t>5.8-5.14</t>
        </is>
      </c>
      <c r="B24" s="16" t="inlineStr">
        <is>
          <t>MB-185R</t>
        </is>
      </c>
      <c r="C24" s="16" t="inlineStr">
        <is>
          <t>Bocina Radio FM/Reproductor, Compatible con Tarjeta TF, USB, Bluetooth, Aplicable para celular, computadora, Ipad y consola</t>
        </is>
      </c>
      <c r="D24" s="17" t="n">
        <v>421.08</v>
      </c>
      <c r="E24" s="18" t="n">
        <v>0.03953862917554333</v>
      </c>
      <c r="F24" s="16" t="n">
        <v>6</v>
      </c>
      <c r="G24" s="16" t="n">
        <v>6</v>
      </c>
      <c r="H24" s="16" t="n">
        <v>6</v>
      </c>
      <c r="I24" s="17" t="n">
        <v>70.18000000000001</v>
      </c>
      <c r="J24" s="17" t="n">
        <v>70.18000000000001</v>
      </c>
      <c r="K24" s="17" t="n">
        <v>453</v>
      </c>
      <c r="L24" s="17" t="n">
        <v>129.3</v>
      </c>
    </row>
    <row r="25">
      <c r="A25" s="16" t="inlineStr">
        <is>
          <t>5.8-5.14</t>
        </is>
      </c>
      <c r="B25" s="16" t="inlineStr">
        <is>
          <t>SA320T-N</t>
        </is>
      </c>
      <c r="C25" s="16" t="inlineStr">
        <is>
          <t>Altavoz inalámbrico portátil con Luces RGB, Radio FM y Manija - 5h Duración, TWS, TF Card, Compacto y Recargable via USB，Perfecto para viajes, fiestas y gaming</t>
        </is>
      </c>
      <c r="D25" s="17" t="n">
        <v>379</v>
      </c>
      <c r="E25" s="18" t="n">
        <v>0.03558789637964881</v>
      </c>
      <c r="F25" s="16" t="n">
        <v>7</v>
      </c>
      <c r="G25" s="16" t="n">
        <v>3</v>
      </c>
      <c r="H25" s="16" t="n">
        <v>3</v>
      </c>
      <c r="I25" s="17" t="n">
        <v>126.33</v>
      </c>
      <c r="J25" s="17" t="n">
        <v>54.14</v>
      </c>
      <c r="K25" s="17" t="n">
        <v>400</v>
      </c>
      <c r="L25" s="17" t="n">
        <v>51.72</v>
      </c>
    </row>
    <row r="26">
      <c r="A26" s="16" t="inlineStr">
        <is>
          <t>5.8-5.14</t>
        </is>
      </c>
      <c r="B26" s="16" t="inlineStr">
        <is>
          <t>F025</t>
        </is>
      </c>
      <c r="C26" s="16" t="inlineStr">
        <is>
          <t>Sopladora Turbo Inalámbrica 130000 RPM - Aire Comprimido Eléctrico con Batería 8400mAh, Carga Rápida 2.5H, Ajuste Infinito de Velocidad, Kit Limpieza Multiuso para PC, Coche, Hogar y Exteriores</t>
        </is>
      </c>
      <c r="D26" s="17" t="n">
        <v>269.28</v>
      </c>
      <c r="E26" s="18" t="n">
        <v>0.02528493215302848</v>
      </c>
      <c r="F26" s="16" t="n">
        <v>2</v>
      </c>
      <c r="G26" s="16" t="n">
        <v>1</v>
      </c>
      <c r="H26" s="16" t="n">
        <v>1</v>
      </c>
      <c r="I26" s="17" t="n">
        <v>269.28</v>
      </c>
      <c r="J26" s="17" t="n">
        <v>134.64</v>
      </c>
      <c r="K26" s="17" t="n">
        <v>288</v>
      </c>
      <c r="L26" s="17" t="n">
        <v>0</v>
      </c>
    </row>
    <row r="27">
      <c r="A27" s="16" t="inlineStr">
        <is>
          <t>5.8-5.14</t>
        </is>
      </c>
      <c r="B27" s="16" t="inlineStr">
        <is>
          <t>SA320T-Y</t>
        </is>
      </c>
      <c r="C27" s="16" t="inlineStr">
        <is>
          <t>Altavoz inalámbrico portátil con Luces RGB, Radio FM y Manija - 5h Duración, TWS, TF Card, Compacto y Recargable via USB，Perfecto para viajes, fiestas y gaming</t>
        </is>
      </c>
      <c r="D27" s="17" t="n">
        <v>267.7</v>
      </c>
      <c r="E27" s="18" t="n">
        <v>0.0251364450407821</v>
      </c>
      <c r="F27" s="16" t="n">
        <v>5</v>
      </c>
      <c r="G27" s="16" t="n">
        <v>5</v>
      </c>
      <c r="H27" s="16" t="n">
        <v>5</v>
      </c>
      <c r="I27" s="17" t="n">
        <v>53.54</v>
      </c>
      <c r="J27" s="17" t="n">
        <v>53.54</v>
      </c>
      <c r="K27" s="17" t="n">
        <v>278</v>
      </c>
      <c r="L27" s="17" t="n">
        <v>129.3</v>
      </c>
    </row>
    <row r="28">
      <c r="A28" s="16" t="inlineStr">
        <is>
          <t>5.8-5.14</t>
        </is>
      </c>
      <c r="B28" s="16" t="inlineStr">
        <is>
          <t>MB-185N</t>
        </is>
      </c>
      <c r="C28" s="16" t="inlineStr">
        <is>
          <t>Bocina Radio FM/Reproductor, Compatible con Tarjeta TF, USB, Bluetooth, Aplicable para celular, computadora, Ipad y consola</t>
        </is>
      </c>
      <c r="D28" s="17" t="n">
        <v>234.35</v>
      </c>
      <c r="E28" s="18" t="n">
        <v>0.02200523884804837</v>
      </c>
      <c r="F28" s="16" t="n">
        <v>4</v>
      </c>
      <c r="G28" s="16" t="n">
        <v>4</v>
      </c>
      <c r="H28" s="16" t="n">
        <v>4</v>
      </c>
      <c r="I28" s="17" t="n">
        <v>58.59</v>
      </c>
      <c r="J28" s="17" t="n">
        <v>58.59</v>
      </c>
      <c r="K28" s="17" t="n">
        <v>264</v>
      </c>
      <c r="L28" s="17" t="n">
        <v>77.58</v>
      </c>
    </row>
    <row r="29">
      <c r="A29" s="16" t="inlineStr">
        <is>
          <t>5.8-5.14</t>
        </is>
      </c>
      <c r="B29" s="16" t="inlineStr">
        <is>
          <t>MB-185A</t>
        </is>
      </c>
      <c r="C29" s="16" t="inlineStr">
        <is>
          <t>Bocina Radio FM/Reproductor, Compatible con Tarjeta TF, USB, Bluetooth, Aplicable para celular, computadora, Ipad y consola</t>
        </is>
      </c>
      <c r="D29" s="17" t="n">
        <v>154.52</v>
      </c>
      <c r="E29" s="18" t="n">
        <v>0.01450918668875646</v>
      </c>
      <c r="F29" s="16" t="n">
        <v>2</v>
      </c>
      <c r="G29" s="16" t="n">
        <v>2</v>
      </c>
      <c r="H29" s="16" t="n">
        <v>2</v>
      </c>
      <c r="I29" s="17" t="n">
        <v>77.26000000000001</v>
      </c>
      <c r="J29" s="17" t="n">
        <v>77.26000000000001</v>
      </c>
      <c r="K29" s="17" t="n">
        <v>155</v>
      </c>
      <c r="L29" s="17" t="n">
        <v>51.72</v>
      </c>
    </row>
    <row r="30">
      <c r="A30" s="16" t="inlineStr">
        <is>
          <t>5.8-5.14</t>
        </is>
      </c>
      <c r="B30" s="16" t="inlineStr">
        <is>
          <t>MB-183B</t>
        </is>
      </c>
      <c r="C30" s="16" t="inlineStr">
        <is>
          <t>Linkbits Altavoz Bluetooth Portátil con Stereo Inalámbrico TWS Impermeable y a Prueba de Polvo IP65 Altavoz de Graves de Rango Completo de 52mm con Doble Unidad Ligero de 215g para Camping Senderismo y Fiestas al Aire Libre</t>
        </is>
      </c>
      <c r="D30" s="17" t="n">
        <v>132.82</v>
      </c>
      <c r="E30" s="18" t="n">
        <v>0.01247195496440863</v>
      </c>
      <c r="F30" s="16" t="n">
        <v>2</v>
      </c>
      <c r="G30" s="16" t="n">
        <v>2</v>
      </c>
      <c r="H30" s="16" t="n">
        <v>2</v>
      </c>
      <c r="I30" s="17" t="n">
        <v>66.41</v>
      </c>
      <c r="J30" s="17" t="n">
        <v>66.41</v>
      </c>
      <c r="K30" s="17" t="n">
        <v>160</v>
      </c>
      <c r="L30" s="17" t="n">
        <v>25.86</v>
      </c>
    </row>
    <row r="31">
      <c r="A31" s="16" t="inlineStr">
        <is>
          <t>5.8-5.14</t>
        </is>
      </c>
      <c r="B31" s="16" t="inlineStr">
        <is>
          <t>SA320T-P</t>
        </is>
      </c>
      <c r="C31" s="16" t="inlineStr">
        <is>
          <t>Altavoz inalámbrico portátil con Luces RGB, Radio FM y Manija - 5h Duración, TWS, TF Card, Compacto y Recargable via USB，Perfecto para viajes, fiestas y gaming</t>
        </is>
      </c>
      <c r="D31" s="17" t="n">
        <v>124.67</v>
      </c>
      <c r="E31" s="18" t="n">
        <v>0.01170679116115617</v>
      </c>
      <c r="F31" s="16" t="n">
        <v>2</v>
      </c>
      <c r="G31" s="16" t="n">
        <v>2</v>
      </c>
      <c r="H31" s="16" t="n">
        <v>2</v>
      </c>
      <c r="I31" s="17" t="n">
        <v>62.34</v>
      </c>
      <c r="J31" s="17" t="n">
        <v>62.34</v>
      </c>
      <c r="K31" s="17" t="n">
        <v>126</v>
      </c>
      <c r="L31" s="17" t="n">
        <v>51.72</v>
      </c>
    </row>
    <row r="32">
      <c r="A32" s="16" t="inlineStr">
        <is>
          <t>5.8-5.14</t>
        </is>
      </c>
      <c r="B32" s="16" t="inlineStr">
        <is>
          <t>MB-183R</t>
        </is>
      </c>
      <c r="C32" s="16" t="inlineStr">
        <is>
          <t>Linkbits Altavoz Bluetooth Portátil con Stereo Inalámbrico TWS Impermeable y a Prueba de Polvo IP65 Altavoz de Graves de Rango Completo de 52mm con Doble Unidad Ligero de 215g para Camping Senderismo y Fiestas al Aire Libre</t>
        </is>
      </c>
      <c r="D32" s="17" t="n">
        <v>68.51000000000001</v>
      </c>
      <c r="E32" s="18" t="n">
        <v>0.006432665275447232</v>
      </c>
      <c r="F32" s="16" t="n">
        <v>1</v>
      </c>
      <c r="G32" s="16" t="n">
        <v>1</v>
      </c>
      <c r="H32" s="16" t="n">
        <v>1</v>
      </c>
      <c r="I32" s="17" t="n">
        <v>68.51000000000001</v>
      </c>
      <c r="J32" s="17" t="n">
        <v>68.51000000000001</v>
      </c>
      <c r="K32" s="17" t="n">
        <v>68.5</v>
      </c>
      <c r="L32" s="17" t="n">
        <v>25.86</v>
      </c>
    </row>
    <row r="33">
      <c r="A33" s="16" t="inlineStr">
        <is>
          <t>5.15-5.21</t>
        </is>
      </c>
      <c r="B33" s="16" t="inlineStr">
        <is>
          <t>A500-N</t>
        </is>
      </c>
      <c r="C33" s="16" t="inlineStr">
        <is>
          <t>Bocina Bluetooth Portátil Barra de Sonido, Inalámbrica con FM Radio, TWS, USB/TF, Graves Potentes para Hogar y Exteriores</t>
        </is>
      </c>
      <c r="D33" s="17" t="n">
        <v>3773.19</v>
      </c>
      <c r="E33" s="18" t="n">
        <v>0.2512266936659387</v>
      </c>
      <c r="F33" s="16" t="n">
        <v>51</v>
      </c>
      <c r="G33" s="16" t="n">
        <v>50</v>
      </c>
      <c r="H33" s="16" t="n">
        <v>50</v>
      </c>
      <c r="I33" s="17" t="n">
        <v>75.45999999999999</v>
      </c>
      <c r="J33" s="17" t="n">
        <v>73.98</v>
      </c>
      <c r="K33" s="17" t="n">
        <v>3951.33</v>
      </c>
      <c r="L33" s="17" t="n">
        <v>1241.28</v>
      </c>
    </row>
    <row r="34">
      <c r="A34" s="16" t="inlineStr">
        <is>
          <t>5.15-5.21</t>
        </is>
      </c>
      <c r="B34" s="16" t="inlineStr">
        <is>
          <t>MB-184N</t>
        </is>
      </c>
      <c r="C34" s="16" t="inlineStr">
        <is>
          <t>Linkbits Portable Bluetooth Speaker - 800W Peak Power, 50W Full-Range Audio with Dual Bass System &amp; Deep Bass Membranes, Powerful &amp; Distortion-Free Sound, IP65 Waterproof Dustproof, TWS Support &amp; 6H Battery for Outdoor/Party</t>
        </is>
      </c>
      <c r="D34" s="17" t="n">
        <v>3008.53</v>
      </c>
      <c r="E34" s="18" t="n">
        <v>0.2003139694733195</v>
      </c>
      <c r="F34" s="16" t="n">
        <v>5</v>
      </c>
      <c r="G34" s="16" t="n">
        <v>5</v>
      </c>
      <c r="H34" s="16" t="n">
        <v>5</v>
      </c>
      <c r="I34" s="17" t="n">
        <v>601.71</v>
      </c>
      <c r="J34" s="17" t="n">
        <v>601.71</v>
      </c>
      <c r="K34" s="17" t="n">
        <v>3066.12</v>
      </c>
      <c r="L34" s="17" t="n">
        <v>0</v>
      </c>
    </row>
    <row r="35">
      <c r="A35" s="16" t="inlineStr">
        <is>
          <t>5.15-5.21</t>
        </is>
      </c>
      <c r="B35" s="16" t="inlineStr">
        <is>
          <t>A500-A</t>
        </is>
      </c>
      <c r="C35" s="16" t="inlineStr">
        <is>
          <t>Bocina Bluetooth Portátil Barra de Sonido, Inalámbrica con FM Radio, TWS, USB/TF, Graves Potentes para Hogar y Exteriores</t>
        </is>
      </c>
      <c r="D35" s="17" t="n">
        <v>2255.38</v>
      </c>
      <c r="E35" s="18" t="n">
        <v>0.1501675476398954</v>
      </c>
      <c r="F35" s="16" t="n">
        <v>33</v>
      </c>
      <c r="G35" s="16" t="n">
        <v>33</v>
      </c>
      <c r="H35" s="16" t="n">
        <v>33</v>
      </c>
      <c r="I35" s="17" t="n">
        <v>68.34</v>
      </c>
      <c r="J35" s="17" t="n">
        <v>68.34</v>
      </c>
      <c r="K35" s="17" t="n">
        <v>2525.44</v>
      </c>
      <c r="L35" s="17" t="n">
        <v>723.02</v>
      </c>
    </row>
    <row r="36">
      <c r="A36" s="16" t="inlineStr">
        <is>
          <t>5.15-5.21</t>
        </is>
      </c>
      <c r="B36" s="16" t="inlineStr">
        <is>
          <t>SA320T-P</t>
        </is>
      </c>
      <c r="C36" s="16" t="inlineStr">
        <is>
          <t>Altavoz inalámbrico portátil con Luces RGB, Radio FM y Manija - 5h Duración, TWS, TF Card, Compacto y Recargable via USB，Perfecto para viajes, fiestas y gaming</t>
        </is>
      </c>
      <c r="D36" s="17" t="n">
        <v>1617.99</v>
      </c>
      <c r="E36" s="18" t="n">
        <v>0.107729029003364</v>
      </c>
      <c r="F36" s="16" t="n">
        <v>25</v>
      </c>
      <c r="G36" s="16" t="n">
        <v>1</v>
      </c>
      <c r="H36" s="16" t="n">
        <v>1</v>
      </c>
      <c r="I36" s="17" t="n">
        <v>1617.99</v>
      </c>
      <c r="J36" s="17" t="n">
        <v>64.72</v>
      </c>
      <c r="K36" s="17" t="n">
        <v>1550</v>
      </c>
      <c r="L36" s="17" t="n">
        <v>0</v>
      </c>
    </row>
    <row r="37">
      <c r="A37" s="16" t="inlineStr">
        <is>
          <t>5.15-5.21</t>
        </is>
      </c>
      <c r="B37" s="16" t="inlineStr">
        <is>
          <t>A500-R</t>
        </is>
      </c>
      <c r="C37" s="16" t="inlineStr">
        <is>
          <t>Bocina Bluetooth Portátil Barra de Sonido, Inalámbrica con FM Radio, TWS, USB/TF, Graves Potentes para Hogar y Exteriores</t>
        </is>
      </c>
      <c r="D37" s="17" t="n">
        <v>1601.32</v>
      </c>
      <c r="E37" s="18" t="n">
        <v>0.1066191401604344</v>
      </c>
      <c r="F37" s="16" t="n">
        <v>22</v>
      </c>
      <c r="G37" s="16" t="n">
        <v>22</v>
      </c>
      <c r="H37" s="16" t="n">
        <v>22</v>
      </c>
      <c r="I37" s="17" t="n">
        <v>72.79000000000001</v>
      </c>
      <c r="J37" s="17" t="n">
        <v>72.79000000000001</v>
      </c>
      <c r="K37" s="17" t="n">
        <v>1736</v>
      </c>
      <c r="L37" s="17" t="n">
        <v>466.58</v>
      </c>
    </row>
    <row r="38">
      <c r="A38" s="16" t="inlineStr">
        <is>
          <t>5.15-5.21</t>
        </is>
      </c>
      <c r="B38" s="16" t="inlineStr">
        <is>
          <t>MB-184R</t>
        </is>
      </c>
      <c r="C38" s="16" t="inlineStr">
        <is>
          <t>Linkbits Portable Bluetooth Speaker - 800W Peak Power, 50W Full-Range Audio with Dual Bass System &amp; Deep Bass Membranes, Powerful &amp; Distortion-Free Sound, IP65 Waterproof Dustproof, TWS Support &amp; 6H Battery for Outdoor/Party</t>
        </is>
      </c>
      <c r="D38" s="17" t="n">
        <v>628.13</v>
      </c>
      <c r="E38" s="18" t="n">
        <v>0.04182206242361879</v>
      </c>
      <c r="F38" s="16" t="n">
        <v>1</v>
      </c>
      <c r="G38" s="16" t="n">
        <v>1</v>
      </c>
      <c r="H38" s="16" t="n">
        <v>1</v>
      </c>
      <c r="I38" s="17" t="n">
        <v>628.13</v>
      </c>
      <c r="J38" s="17" t="n">
        <v>628.13</v>
      </c>
      <c r="K38" s="17" t="n">
        <v>620</v>
      </c>
      <c r="L38" s="17" t="n">
        <v>0</v>
      </c>
    </row>
    <row r="39">
      <c r="A39" s="16" t="inlineStr">
        <is>
          <t>5.15-5.21</t>
        </is>
      </c>
      <c r="B39" s="16" t="inlineStr">
        <is>
          <t>MB-183N</t>
        </is>
      </c>
      <c r="C39" s="16" t="inlineStr">
        <is>
          <t>Linkbits Altavoz Bluetooth Portátil con Stereo Inalámbrico TWS Impermeable y a Prueba de Polvo IP65 Altavoz de Graves de Rango Completo de 52mm con Doble Unidad Ligero de 215g para Camping Senderismo y Fiestas al Aire Libre</t>
        </is>
      </c>
      <c r="D39" s="17" t="n">
        <v>367.33</v>
      </c>
      <c r="E39" s="18" t="n">
        <v>0.02445775676307449</v>
      </c>
      <c r="F39" s="16" t="n">
        <v>4</v>
      </c>
      <c r="G39" s="16" t="n">
        <v>4</v>
      </c>
      <c r="H39" s="16" t="n">
        <v>4</v>
      </c>
      <c r="I39" s="17" t="n">
        <v>91.83</v>
      </c>
      <c r="J39" s="17" t="n">
        <v>91.83</v>
      </c>
      <c r="K39" s="17" t="n">
        <v>365</v>
      </c>
      <c r="L39" s="17" t="n">
        <v>103.44</v>
      </c>
    </row>
    <row r="40">
      <c r="A40" s="16" t="inlineStr">
        <is>
          <t>5.15-5.21</t>
        </is>
      </c>
      <c r="B40" s="16" t="inlineStr">
        <is>
          <t>F025</t>
        </is>
      </c>
      <c r="C40" s="16" t="inlineStr">
        <is>
          <t>Sopladora Turbo Inalámbrica 130000 RPM - Aire Comprimido Eléctrico con Batería 8400mAh, Carga Rápida 2.5H, Ajuste Infinito de Velocidad, Kit Limpieza Multiuso para PC, Coche, Hogar y Exteriores</t>
        </is>
      </c>
      <c r="D40" s="17" t="n">
        <v>299.71</v>
      </c>
      <c r="E40" s="18" t="n">
        <v>0.01995545117449204</v>
      </c>
      <c r="F40" s="16" t="n">
        <v>2</v>
      </c>
      <c r="G40" s="16" t="n">
        <v>2</v>
      </c>
      <c r="H40" s="16" t="n">
        <v>2</v>
      </c>
      <c r="I40" s="17" t="n">
        <v>149.86</v>
      </c>
      <c r="J40" s="17" t="n">
        <v>149.86</v>
      </c>
      <c r="K40" s="17" t="n">
        <v>296</v>
      </c>
      <c r="L40" s="17" t="n">
        <v>51.72</v>
      </c>
    </row>
    <row r="41">
      <c r="A41" s="16" t="inlineStr">
        <is>
          <t>5.15-5.21</t>
        </is>
      </c>
      <c r="B41" s="16" t="inlineStr">
        <is>
          <t>SA320T-R</t>
        </is>
      </c>
      <c r="C41" s="16" t="inlineStr">
        <is>
          <t>Altavoz inalámbrico portátil con Luces RGB, Radio FM y Manija - 5h Duración, TWS, TF Card, Compacto y Recargable via USB，Perfecto para viajes, fiestas y gaming</t>
        </is>
      </c>
      <c r="D41" s="17" t="n">
        <v>272.26</v>
      </c>
      <c r="E41" s="18" t="n">
        <v>0.01812736214667223</v>
      </c>
      <c r="F41" s="16" t="n">
        <v>6</v>
      </c>
      <c r="G41" s="16" t="n">
        <v>5</v>
      </c>
      <c r="H41" s="16" t="n">
        <v>5</v>
      </c>
      <c r="I41" s="17" t="n">
        <v>54.45</v>
      </c>
      <c r="J41" s="17" t="n">
        <v>45.38</v>
      </c>
      <c r="K41" s="17" t="n">
        <v>362</v>
      </c>
      <c r="L41" s="17" t="n">
        <v>116.37</v>
      </c>
    </row>
    <row r="42">
      <c r="A42" s="16" t="inlineStr">
        <is>
          <t>5.15-5.21</t>
        </is>
      </c>
      <c r="B42" s="16" t="inlineStr">
        <is>
          <t>SA320T-N</t>
        </is>
      </c>
      <c r="C42" s="16" t="inlineStr">
        <is>
          <t>Altavoz inalámbrico portátil con Luces RGB, Radio FM y Manija - 5h Duración, TWS, TF Card, Compacto y Recargable via USB，Perfecto para viajes, fiestas y gaming</t>
        </is>
      </c>
      <c r="D42" s="17" t="n">
        <v>249.35</v>
      </c>
      <c r="E42" s="18" t="n">
        <v>0.01660206480405886</v>
      </c>
      <c r="F42" s="16" t="n">
        <v>4</v>
      </c>
      <c r="G42" s="16" t="n">
        <v>4</v>
      </c>
      <c r="H42" s="16" t="n">
        <v>4</v>
      </c>
      <c r="I42" s="17" t="n">
        <v>62.34</v>
      </c>
      <c r="J42" s="17" t="n">
        <v>62.34</v>
      </c>
      <c r="K42" s="17" t="n">
        <v>252</v>
      </c>
      <c r="L42" s="17" t="n">
        <v>103.44</v>
      </c>
    </row>
    <row r="43">
      <c r="A43" s="16" t="inlineStr">
        <is>
          <t>5.15-5.21</t>
        </is>
      </c>
      <c r="B43" s="16" t="inlineStr">
        <is>
          <t>MB-185R</t>
        </is>
      </c>
      <c r="C43" s="16" t="inlineStr">
        <is>
          <t>Bocina Radio FM/Reproductor, Compatible con Tarjeta TF, USB, Bluetooth, Aplicable para celular, computadora, Ipad y consola</t>
        </is>
      </c>
      <c r="D43" s="17" t="n">
        <v>216.92</v>
      </c>
      <c r="E43" s="18" t="n">
        <v>0.01444277021756791</v>
      </c>
      <c r="F43" s="16" t="n">
        <v>3</v>
      </c>
      <c r="G43" s="16" t="n">
        <v>3</v>
      </c>
      <c r="H43" s="16" t="n">
        <v>3</v>
      </c>
      <c r="I43" s="17" t="n">
        <v>72.31</v>
      </c>
      <c r="J43" s="17" t="n">
        <v>72.31</v>
      </c>
      <c r="K43" s="17" t="n">
        <v>217</v>
      </c>
      <c r="L43" s="17" t="n">
        <v>77.58</v>
      </c>
    </row>
    <row r="44">
      <c r="A44" s="16" t="inlineStr">
        <is>
          <t>5.15-5.21</t>
        </is>
      </c>
      <c r="B44" s="16" t="inlineStr">
        <is>
          <t>MB-185A</t>
        </is>
      </c>
      <c r="C44" s="16" t="inlineStr">
        <is>
          <t>Bocina Radio FM/Reproductor, Compatible con Tarjeta TF, USB, Bluetooth, Aplicable para celular, computadora, Ipad y consola</t>
        </is>
      </c>
      <c r="D44" s="17" t="n">
        <v>209</v>
      </c>
      <c r="E44" s="18" t="n">
        <v>0.01391594005051551</v>
      </c>
      <c r="F44" s="16" t="n">
        <v>3</v>
      </c>
      <c r="G44" s="16" t="n">
        <v>3</v>
      </c>
      <c r="H44" s="16" t="n">
        <v>3</v>
      </c>
      <c r="I44" s="17" t="n">
        <v>69.67</v>
      </c>
      <c r="J44" s="17" t="n">
        <v>69.67</v>
      </c>
      <c r="K44" s="17" t="n">
        <v>209.5</v>
      </c>
      <c r="L44" s="17" t="n">
        <v>77.58</v>
      </c>
    </row>
    <row r="45">
      <c r="A45" s="16" t="inlineStr">
        <is>
          <t>5.15-5.21</t>
        </is>
      </c>
      <c r="B45" s="16" t="inlineStr">
        <is>
          <t>MB-185N</t>
        </is>
      </c>
      <c r="C45" s="16" t="inlineStr">
        <is>
          <t>Bocina Radio FM/Reproductor, Compatible con Tarjeta TF, USB, Bluetooth, Aplicable para celular, computadora, Ipad y consola</t>
        </is>
      </c>
      <c r="D45" s="17" t="n">
        <v>130.38</v>
      </c>
      <c r="E45" s="18" t="n">
        <v>0.008680969335015356</v>
      </c>
      <c r="F45" s="16" t="n">
        <v>2</v>
      </c>
      <c r="G45" s="16" t="n">
        <v>2</v>
      </c>
      <c r="H45" s="16" t="n">
        <v>2</v>
      </c>
      <c r="I45" s="17" t="n">
        <v>65.19</v>
      </c>
      <c r="J45" s="17" t="n">
        <v>65.19</v>
      </c>
      <c r="K45" s="17" t="n">
        <v>132</v>
      </c>
      <c r="L45" s="17" t="n">
        <v>51.72</v>
      </c>
    </row>
    <row r="46">
      <c r="A46" s="16" t="inlineStr">
        <is>
          <t>5.15-5.21</t>
        </is>
      </c>
      <c r="B46" s="16" t="inlineStr">
        <is>
          <t>SA320T-V</t>
        </is>
      </c>
      <c r="C46" s="16" t="inlineStr">
        <is>
          <t>Altavoz inalámbrico portátil con Luces RGB, Radio FM y Manija - 5h Duración, TWS, TF Card, Compacto y Recargable via USB，Perfecto para viajes, fiestas y gaming</t>
        </is>
      </c>
      <c r="D46" s="17" t="n">
        <v>124.67</v>
      </c>
      <c r="E46" s="18" t="n">
        <v>0.00830103240202943</v>
      </c>
      <c r="F46" s="16" t="n">
        <v>2</v>
      </c>
      <c r="G46" s="16" t="n">
        <v>2</v>
      </c>
      <c r="H46" s="16" t="n">
        <v>2</v>
      </c>
      <c r="I46" s="17" t="n">
        <v>62.34</v>
      </c>
      <c r="J46" s="17" t="n">
        <v>62.34</v>
      </c>
      <c r="K46" s="17" t="n">
        <v>126</v>
      </c>
      <c r="L46" s="17" t="n">
        <v>51.72</v>
      </c>
    </row>
    <row r="47">
      <c r="A47" s="16" t="inlineStr">
        <is>
          <t>5.15-5.21</t>
        </is>
      </c>
      <c r="B47" s="16" t="inlineStr">
        <is>
          <t>SA320T-A</t>
        </is>
      </c>
      <c r="C47" s="16" t="inlineStr">
        <is>
          <t>Altavoz inalámbrico portátil con Luces RGB, Radio FM y Manija - 5h Duración, TWS, TF Card, Compacto y Recargable via USB，Perfecto para viajes, fiestas y gaming</t>
        </is>
      </c>
      <c r="D47" s="17" t="n">
        <v>108.85</v>
      </c>
      <c r="E47" s="18" t="n">
        <v>0.007247372067924624</v>
      </c>
      <c r="F47" s="16" t="n">
        <v>2</v>
      </c>
      <c r="G47" s="16" t="n">
        <v>2</v>
      </c>
      <c r="H47" s="16" t="n">
        <v>2</v>
      </c>
      <c r="I47" s="17" t="n">
        <v>54.42</v>
      </c>
      <c r="J47" s="17" t="n">
        <v>54.42</v>
      </c>
      <c r="K47" s="17" t="n">
        <v>111</v>
      </c>
      <c r="L47" s="17" t="n">
        <v>51.72</v>
      </c>
    </row>
    <row r="48">
      <c r="A48" s="16" t="inlineStr">
        <is>
          <t>5.15-5.21</t>
        </is>
      </c>
      <c r="B48" s="16" t="inlineStr">
        <is>
          <t>MB-183B</t>
        </is>
      </c>
      <c r="C48" s="16" t="inlineStr">
        <is>
          <t>Linkbits Altavoz Bluetooth Portátil con Stereo Inalámbrico TWS Impermeable y a Prueba de Polvo IP65 Altavoz de Graves de Rango Completo de 52mm con Doble Unidad Ligero de 215g para Camping Senderismo y Fiestas al Aire Libre</t>
        </is>
      </c>
      <c r="D48" s="17" t="n">
        <v>90.70999999999999</v>
      </c>
      <c r="E48" s="18" t="n">
        <v>0.006039927261549243</v>
      </c>
      <c r="F48" s="16" t="n">
        <v>1</v>
      </c>
      <c r="G48" s="16" t="n">
        <v>1</v>
      </c>
      <c r="H48" s="16" t="n">
        <v>1</v>
      </c>
      <c r="I48" s="17" t="n">
        <v>90.70999999999999</v>
      </c>
      <c r="J48" s="17" t="n">
        <v>90.70999999999999</v>
      </c>
      <c r="K48" s="17" t="n">
        <v>90</v>
      </c>
      <c r="L48" s="17" t="n">
        <v>25.86</v>
      </c>
    </row>
    <row r="49">
      <c r="A49" s="16" t="inlineStr">
        <is>
          <t>5.15-5.21</t>
        </is>
      </c>
      <c r="B49" s="16" t="inlineStr">
        <is>
          <t>MB-183R</t>
        </is>
      </c>
      <c r="C49" s="16" t="inlineStr">
        <is>
          <t>Linkbits Altavoz Bluetooth Portátil con Stereo Inalámbrico TWS Impermeable y a Prueba de Polvo IP65 Altavoz de Graves de Rango Completo de 52mm con Doble Unidad Ligero de 215g para Camping Senderismo y Fiestas al Aire Libre</t>
        </is>
      </c>
      <c r="D49" s="17" t="n">
        <v>65.34999999999999</v>
      </c>
      <c r="E49" s="18" t="n">
        <v>0.00435091141052953</v>
      </c>
      <c r="F49" s="16" t="n">
        <v>1</v>
      </c>
      <c r="G49" s="16" t="n">
        <v>1</v>
      </c>
      <c r="H49" s="16" t="n">
        <v>1</v>
      </c>
      <c r="I49" s="17" t="n">
        <v>65.34999999999999</v>
      </c>
      <c r="J49" s="17" t="n">
        <v>65.34999999999999</v>
      </c>
      <c r="K49" s="17" t="n">
        <v>70</v>
      </c>
      <c r="L49" s="17" t="n">
        <v>25.86</v>
      </c>
    </row>
    <row r="50">
      <c r="A50" s="16" t="inlineStr">
        <is>
          <t>5.22-5.28</t>
        </is>
      </c>
      <c r="B50" s="16" t="inlineStr">
        <is>
          <t>A500-N</t>
        </is>
      </c>
      <c r="C50" s="16" t="inlineStr">
        <is>
          <t>Bocina Bluetooth Portátil Barra de Sonido, Inalámbrica con FM Radio, TWS, USB/TF, Graves Potentes para Hogar y Exteriores</t>
        </is>
      </c>
      <c r="D50" s="17" t="n">
        <v>4278.93</v>
      </c>
      <c r="E50" s="18" t="n">
        <v>0.3156487018759756</v>
      </c>
      <c r="F50" s="16" t="n">
        <v>55</v>
      </c>
      <c r="G50" s="16" t="n">
        <v>51</v>
      </c>
      <c r="H50" s="16" t="n">
        <v>51</v>
      </c>
      <c r="I50" s="17" t="n">
        <v>83.90000000000001</v>
      </c>
      <c r="J50" s="17" t="n">
        <v>77.8</v>
      </c>
      <c r="K50" s="17" t="n">
        <v>4351.04</v>
      </c>
      <c r="L50" s="17" t="n">
        <v>1246.18</v>
      </c>
    </row>
    <row r="51">
      <c r="A51" s="16" t="inlineStr">
        <is>
          <t>5.22-5.28</t>
        </is>
      </c>
      <c r="B51" s="16" t="inlineStr">
        <is>
          <t>A500-A</t>
        </is>
      </c>
      <c r="C51" s="16" t="inlineStr">
        <is>
          <t>Bocina Bluetooth Portátil Barra de Sonido, Inalámbrica con FM Radio, TWS, USB/TF, Graves Potentes para Hogar y Exteriores</t>
        </is>
      </c>
      <c r="D51" s="17" t="n">
        <v>1833.73</v>
      </c>
      <c r="E51" s="18" t="n">
        <v>0.1352711625531676</v>
      </c>
      <c r="F51" s="16" t="n">
        <v>26</v>
      </c>
      <c r="G51" s="16" t="n">
        <v>25</v>
      </c>
      <c r="H51" s="16" t="n">
        <v>25</v>
      </c>
      <c r="I51" s="17" t="n">
        <v>73.34999999999999</v>
      </c>
      <c r="J51" s="17" t="n">
        <v>70.53</v>
      </c>
      <c r="K51" s="17" t="n">
        <v>1910.81</v>
      </c>
      <c r="L51" s="17" t="n">
        <v>598.13</v>
      </c>
    </row>
    <row r="52">
      <c r="A52" s="16" t="inlineStr">
        <is>
          <t>5.22-5.28</t>
        </is>
      </c>
      <c r="B52" s="16" t="inlineStr">
        <is>
          <t>F025</t>
        </is>
      </c>
      <c r="C52" s="16" t="inlineStr">
        <is>
          <t>Sopladora Turbo Inalámbrica 130000 RPM - Aire Comprimido Eléctrico con Batería 8400mAh, Carga Rápida 2.5H, Ajuste Infinito de Velocidad, Kit Limpieza Multiuso para PC, Coche, Hogar y Exteriores</t>
        </is>
      </c>
      <c r="D52" s="17" t="n">
        <v>1514.62</v>
      </c>
      <c r="E52" s="18" t="n">
        <v>0.1117306461613369</v>
      </c>
      <c r="F52" s="16" t="n">
        <v>10</v>
      </c>
      <c r="G52" s="16" t="n">
        <v>5</v>
      </c>
      <c r="H52" s="16" t="n">
        <v>5</v>
      </c>
      <c r="I52" s="17" t="n">
        <v>302.92</v>
      </c>
      <c r="J52" s="17" t="n">
        <v>151.46</v>
      </c>
      <c r="K52" s="17" t="n">
        <v>1513</v>
      </c>
      <c r="L52" s="17" t="n">
        <v>77.58</v>
      </c>
    </row>
    <row r="53">
      <c r="A53" s="16" t="inlineStr">
        <is>
          <t>5.22-5.28</t>
        </is>
      </c>
      <c r="B53" s="16" t="inlineStr">
        <is>
          <t>MB-184N</t>
        </is>
      </c>
      <c r="C53" s="16" t="inlineStr">
        <is>
          <t>Linkbits Portable Bluetooth Speaker - 800W Peak Power, 50W Full-Range Audio with Dual Bass System &amp; Deep Bass Membranes, Powerful &amp; Distortion-Free Sound, IP65 Waterproof Dustproof, TWS Support &amp; 6H Battery for Outdoor/Party</t>
        </is>
      </c>
      <c r="D53" s="17" t="n">
        <v>1182.98</v>
      </c>
      <c r="E53" s="18" t="n">
        <v>0.08726641574815391</v>
      </c>
      <c r="F53" s="16" t="n">
        <v>2</v>
      </c>
      <c r="G53" s="16" t="n">
        <v>2</v>
      </c>
      <c r="H53" s="16" t="n">
        <v>2</v>
      </c>
      <c r="I53" s="17" t="n">
        <v>591.49</v>
      </c>
      <c r="J53" s="17" t="n">
        <v>591.49</v>
      </c>
      <c r="K53" s="17" t="n">
        <v>1176</v>
      </c>
      <c r="L53" s="17" t="n">
        <v>0</v>
      </c>
    </row>
    <row r="54">
      <c r="A54" s="16" t="inlineStr">
        <is>
          <t>5.22-5.28</t>
        </is>
      </c>
      <c r="B54" s="16" t="inlineStr">
        <is>
          <t>A500-R</t>
        </is>
      </c>
      <c r="C54" s="16" t="inlineStr">
        <is>
          <t>Bocina Bluetooth Portátil Barra de Sonido, Inalámbrica con FM Radio, TWS, USB/TF, Graves Potentes para Hogar y Exteriores</t>
        </is>
      </c>
      <c r="D54" s="17" t="n">
        <v>1064.4</v>
      </c>
      <c r="E54" s="18" t="n">
        <v>0.07851908883940405</v>
      </c>
      <c r="F54" s="16" t="n">
        <v>14</v>
      </c>
      <c r="G54" s="16" t="n">
        <v>14</v>
      </c>
      <c r="H54" s="16" t="n">
        <v>14</v>
      </c>
      <c r="I54" s="17" t="n">
        <v>76.03</v>
      </c>
      <c r="J54" s="17" t="n">
        <v>76.03</v>
      </c>
      <c r="K54" s="17" t="n">
        <v>1111.1</v>
      </c>
      <c r="L54" s="17" t="n">
        <v>327.93</v>
      </c>
    </row>
    <row r="55">
      <c r="A55" s="16" t="inlineStr">
        <is>
          <t>5.22-5.28</t>
        </is>
      </c>
      <c r="B55" s="16" t="inlineStr">
        <is>
          <t>MB-185N</t>
        </is>
      </c>
      <c r="C55" s="16" t="inlineStr">
        <is>
          <t>Bocina Radio FM/Reproductor, Compatible con Tarjeta TF, USB, Bluetooth, Aplicable para celular, computadora, Ipad y consola</t>
        </is>
      </c>
      <c r="D55" s="17" t="n">
        <v>690.78</v>
      </c>
      <c r="E55" s="18" t="n">
        <v>0.05095757250712643</v>
      </c>
      <c r="F55" s="16" t="n">
        <v>10</v>
      </c>
      <c r="G55" s="16" t="n">
        <v>9</v>
      </c>
      <c r="H55" s="16" t="n">
        <v>9</v>
      </c>
      <c r="I55" s="17" t="n">
        <v>76.75</v>
      </c>
      <c r="J55" s="17" t="n">
        <v>69.08</v>
      </c>
      <c r="K55" s="17" t="n">
        <v>717</v>
      </c>
      <c r="L55" s="17" t="n">
        <v>206.88</v>
      </c>
    </row>
    <row r="56">
      <c r="A56" s="16" t="inlineStr">
        <is>
          <t>5.22-5.28</t>
        </is>
      </c>
      <c r="B56" s="16" t="inlineStr">
        <is>
          <t>MB-184R</t>
        </is>
      </c>
      <c r="C56" s="16" t="inlineStr">
        <is>
          <t>Linkbits Portable Bluetooth Speaker - 800W Peak Power, 50W Full-Range Audio with Dual Bass System &amp; Deep Bass Membranes, Powerful &amp; Distortion-Free Sound, IP65 Waterproof Dustproof, TWS Support &amp; 6H Battery for Outdoor/Party</t>
        </is>
      </c>
      <c r="D56" s="17" t="n">
        <v>598.59</v>
      </c>
      <c r="E56" s="18" t="n">
        <v>0.0441567848725197</v>
      </c>
      <c r="F56" s="16" t="n">
        <v>1</v>
      </c>
      <c r="G56" s="16" t="n">
        <v>1</v>
      </c>
      <c r="H56" s="16" t="n">
        <v>1</v>
      </c>
      <c r="I56" s="17" t="n">
        <v>598.59</v>
      </c>
      <c r="J56" s="17" t="n">
        <v>598.59</v>
      </c>
      <c r="K56" s="17" t="n">
        <v>592</v>
      </c>
      <c r="L56" s="17" t="n">
        <v>0</v>
      </c>
    </row>
    <row r="57">
      <c r="A57" s="16" t="inlineStr">
        <is>
          <t>5.22-5.28</t>
        </is>
      </c>
      <c r="B57" s="16" t="inlineStr">
        <is>
          <t>SA320T-V</t>
        </is>
      </c>
      <c r="C57" s="16" t="inlineStr">
        <is>
          <t>Altavoz inalámbrico portátil con Luces RGB, Radio FM y Manija - 5h Duración, TWS, TF Card, Compacto y Recargable via USB，Perfecto para viajes, fiestas y gaming</t>
        </is>
      </c>
      <c r="D57" s="17" t="n">
        <v>432.97</v>
      </c>
      <c r="E57" s="18" t="n">
        <v>0.03193921121741294</v>
      </c>
      <c r="F57" s="16" t="n">
        <v>9</v>
      </c>
      <c r="G57" s="16" t="n">
        <v>5</v>
      </c>
      <c r="H57" s="16" t="n">
        <v>5</v>
      </c>
      <c r="I57" s="17" t="n">
        <v>86.59</v>
      </c>
      <c r="J57" s="17" t="n">
        <v>48.11</v>
      </c>
      <c r="K57" s="17" t="n">
        <v>432</v>
      </c>
      <c r="L57" s="17" t="n">
        <v>129.3</v>
      </c>
    </row>
    <row r="58">
      <c r="A58" s="16" t="inlineStr">
        <is>
          <t>5.22-5.28</t>
        </is>
      </c>
      <c r="B58" s="16" t="inlineStr">
        <is>
          <t>MB-183N</t>
        </is>
      </c>
      <c r="C58" s="16" t="inlineStr">
        <is>
          <t>Linkbits Altavoz Bluetooth Portátil con Stereo Inalámbrico TWS Impermeable y a Prueba de Polvo IP65 Altavoz de Graves de Rango Completo de 52mm con Doble Unidad Ligero de 215g para Camping Senderismo y Fiestas al Aire Libre</t>
        </is>
      </c>
      <c r="D58" s="17" t="n">
        <v>342.13</v>
      </c>
      <c r="E58" s="18" t="n">
        <v>0.02523814709009668</v>
      </c>
      <c r="F58" s="16" t="n">
        <v>4</v>
      </c>
      <c r="G58" s="16" t="n">
        <v>4</v>
      </c>
      <c r="H58" s="16" t="n">
        <v>4</v>
      </c>
      <c r="I58" s="17" t="n">
        <v>85.53</v>
      </c>
      <c r="J58" s="17" t="n">
        <v>85.53</v>
      </c>
      <c r="K58" s="17" t="n">
        <v>365</v>
      </c>
      <c r="L58" s="17" t="n">
        <v>77.58</v>
      </c>
    </row>
    <row r="59">
      <c r="A59" s="16" t="inlineStr">
        <is>
          <t>5.22-5.28</t>
        </is>
      </c>
      <c r="B59" s="16" t="inlineStr">
        <is>
          <t>SA320T-N</t>
        </is>
      </c>
      <c r="C59" s="16" t="inlineStr">
        <is>
          <t>Altavoz inalámbrico portátil con Luces RGB, Radio FM y Manija - 5h Duración, TWS, TF Card, Compacto y Recargable via USB，Perfecto para viajes, fiestas y gaming</t>
        </is>
      </c>
      <c r="D59" s="17" t="n">
        <v>329.43</v>
      </c>
      <c r="E59" s="18" t="n">
        <v>0.02430158265267008</v>
      </c>
      <c r="F59" s="16" t="n">
        <v>6</v>
      </c>
      <c r="G59" s="16" t="n">
        <v>3</v>
      </c>
      <c r="H59" s="16" t="n">
        <v>3</v>
      </c>
      <c r="I59" s="17" t="n">
        <v>109.81</v>
      </c>
      <c r="J59" s="17" t="n">
        <v>54.91</v>
      </c>
      <c r="K59" s="17" t="n">
        <v>375</v>
      </c>
      <c r="L59" s="17" t="n">
        <v>25.86</v>
      </c>
    </row>
    <row r="60">
      <c r="A60" s="16" t="inlineStr">
        <is>
          <t>5.22-5.28</t>
        </is>
      </c>
      <c r="B60" s="16" t="inlineStr">
        <is>
          <t>MB-183B</t>
        </is>
      </c>
      <c r="C60" s="16" t="inlineStr">
        <is>
          <t>Linkbits Altavoz Bluetooth Portátil con Stereo Inalámbrico TWS Impermeable y a Prueba de Polvo IP65 Altavoz de Graves de Rango Completo de 52mm con Doble Unidad Ligero de 215g para Camping Senderismo y Fiestas al Aire Libre</t>
        </is>
      </c>
      <c r="D60" s="17" t="n">
        <v>302.36</v>
      </c>
      <c r="E60" s="18" t="n">
        <v>0.02230447160619792</v>
      </c>
      <c r="F60" s="16" t="n">
        <v>4</v>
      </c>
      <c r="G60" s="16" t="n">
        <v>3</v>
      </c>
      <c r="H60" s="16" t="n">
        <v>3</v>
      </c>
      <c r="I60" s="17" t="n">
        <v>100.79</v>
      </c>
      <c r="J60" s="17" t="n">
        <v>75.59</v>
      </c>
      <c r="K60" s="17" t="n">
        <v>300</v>
      </c>
      <c r="L60" s="17" t="n">
        <v>77.58</v>
      </c>
    </row>
    <row r="61">
      <c r="A61" s="16" t="inlineStr">
        <is>
          <t>5.22-5.28</t>
        </is>
      </c>
      <c r="B61" s="16" t="inlineStr">
        <is>
          <t>SA315TA</t>
        </is>
      </c>
      <c r="C61" s="16" t="inlineStr">
        <is>
          <t>Altavoz inalámbrico portátil con Luces RGB, Radio FM y Manija - 5h Duración, TWS, TF Card, Compacto y Recargable via USB，Perfecto para viajes, fiestas y gaming</t>
        </is>
      </c>
      <c r="D61" s="17" t="n">
        <v>275.64</v>
      </c>
      <c r="E61" s="18" t="n">
        <v>0.02033313516004924</v>
      </c>
      <c r="F61" s="16" t="n">
        <v>6</v>
      </c>
      <c r="G61" s="16" t="n">
        <v>6</v>
      </c>
      <c r="H61" s="16" t="n">
        <v>6</v>
      </c>
      <c r="I61" s="17" t="n">
        <v>45.94</v>
      </c>
      <c r="J61" s="17" t="n">
        <v>45.94</v>
      </c>
      <c r="K61" s="17" t="n">
        <v>294</v>
      </c>
      <c r="L61" s="17" t="n">
        <v>155.16</v>
      </c>
    </row>
    <row r="62">
      <c r="A62" s="16" t="inlineStr">
        <is>
          <t>5.22-5.28</t>
        </is>
      </c>
      <c r="B62" s="16" t="inlineStr">
        <is>
          <t>MB-185A</t>
        </is>
      </c>
      <c r="C62" s="16" t="inlineStr">
        <is>
          <t>Bocina Radio FM/Reproductor, Compatible con Tarjeta TF, USB, Bluetooth, Aplicable para celular, computadora, Ipad y consola</t>
        </is>
      </c>
      <c r="D62" s="17" t="n">
        <v>243.97</v>
      </c>
      <c r="E62" s="18" t="n">
        <v>0.01799756835014224</v>
      </c>
      <c r="F62" s="16" t="n">
        <v>4</v>
      </c>
      <c r="G62" s="16" t="n">
        <v>4</v>
      </c>
      <c r="H62" s="16" t="n">
        <v>4</v>
      </c>
      <c r="I62" s="17" t="n">
        <v>60.99</v>
      </c>
      <c r="J62" s="17" t="n">
        <v>60.99</v>
      </c>
      <c r="K62" s="17" t="n">
        <v>287</v>
      </c>
      <c r="L62" s="17" t="n">
        <v>64.65000000000001</v>
      </c>
    </row>
    <row r="63">
      <c r="A63" s="16" t="inlineStr">
        <is>
          <t>5.22-5.28</t>
        </is>
      </c>
      <c r="B63" s="16" t="inlineStr">
        <is>
          <t>SA320T-R</t>
        </is>
      </c>
      <c r="C63" s="16" t="inlineStr">
        <is>
          <t>Altavoz inalámbrico portátil con Luces RGB, Radio FM y Manija - 5h Duración, TWS, TF Card, Compacto y Recargable via USB，Perfecto para viajes, fiestas y gaming</t>
        </is>
      </c>
      <c r="D63" s="17" t="n">
        <v>142.41</v>
      </c>
      <c r="E63" s="18" t="n">
        <v>0.01050514137253937</v>
      </c>
      <c r="F63" s="16" t="n">
        <v>3</v>
      </c>
      <c r="G63" s="16" t="n">
        <v>3</v>
      </c>
      <c r="H63" s="16" t="n">
        <v>3</v>
      </c>
      <c r="I63" s="17" t="n">
        <v>47.47</v>
      </c>
      <c r="J63" s="17" t="n">
        <v>47.47</v>
      </c>
      <c r="K63" s="17" t="n">
        <v>186</v>
      </c>
      <c r="L63" s="17" t="n">
        <v>39.07</v>
      </c>
    </row>
    <row r="64">
      <c r="A64" s="16" t="inlineStr">
        <is>
          <t>5.22-5.28</t>
        </is>
      </c>
      <c r="B64" s="16" t="inlineStr">
        <is>
          <t>SA315TY</t>
        </is>
      </c>
      <c r="C64" s="16" t="inlineStr">
        <is>
          <t>Altavoz inalámbrico portátil con Luces RGB, Radio FM y Manija - 5h Duración, TWS, TF Card, Compacto y Recargable via USB，Perfecto para viajes, fiestas y gaming</t>
        </is>
      </c>
      <c r="D64" s="17" t="n">
        <v>141.74</v>
      </c>
      <c r="E64" s="18" t="n">
        <v>0.01045607815938784</v>
      </c>
      <c r="F64" s="16" t="n">
        <v>3</v>
      </c>
      <c r="G64" s="16" t="n">
        <v>2</v>
      </c>
      <c r="H64" s="16" t="n">
        <v>2</v>
      </c>
      <c r="I64" s="17" t="n">
        <v>70.87</v>
      </c>
      <c r="J64" s="17" t="n">
        <v>47.25</v>
      </c>
      <c r="K64" s="17" t="n">
        <v>147</v>
      </c>
      <c r="L64" s="17" t="n">
        <v>51.72</v>
      </c>
    </row>
    <row r="65">
      <c r="A65" s="16" t="inlineStr">
        <is>
          <t>5.22-5.28</t>
        </is>
      </c>
      <c r="B65" s="16" t="inlineStr">
        <is>
          <t>SA320T-P</t>
        </is>
      </c>
      <c r="C65" s="16" t="inlineStr">
        <is>
          <t>Altavoz inalámbrico portátil con Luces RGB, Radio FM y Manija - 5h Duración, TWS, TF Card, Compacto y Recargable via USB，Perfecto para viajes, fiestas y gaming</t>
        </is>
      </c>
      <c r="D65" s="17" t="n">
        <v>130.19</v>
      </c>
      <c r="E65" s="18" t="n">
        <v>0.009603635260252241</v>
      </c>
      <c r="F65" s="16" t="n">
        <v>3</v>
      </c>
      <c r="G65" s="16" t="n">
        <v>3</v>
      </c>
      <c r="H65" s="16" t="n">
        <v>3</v>
      </c>
      <c r="I65" s="17" t="n">
        <v>43.4</v>
      </c>
      <c r="J65" s="17" t="n">
        <v>43.4</v>
      </c>
      <c r="K65" s="17" t="n">
        <v>177</v>
      </c>
      <c r="L65" s="17" t="n">
        <v>38.52</v>
      </c>
    </row>
    <row r="66">
      <c r="A66" s="16" t="inlineStr">
        <is>
          <t>5.22-5.28</t>
        </is>
      </c>
      <c r="B66" s="16" t="inlineStr">
        <is>
          <t>MB-185R</t>
        </is>
      </c>
      <c r="C66" s="16" t="inlineStr">
        <is>
          <t>Bocina Radio FM/Reproductor, Compatible con Tarjeta TF, USB, Bluetooth, Aplicable para celular, computadora, Ipad y consola</t>
        </is>
      </c>
      <c r="D66" s="17" t="n">
        <v>51.11</v>
      </c>
      <c r="E66" s="18" t="n">
        <v>0.003770656573567272</v>
      </c>
      <c r="F66" s="16" t="n">
        <v>1</v>
      </c>
      <c r="G66" s="16" t="n">
        <v>1</v>
      </c>
      <c r="H66" s="16" t="n">
        <v>1</v>
      </c>
      <c r="I66" s="17" t="n">
        <v>51.11</v>
      </c>
      <c r="J66" s="17" t="n">
        <v>51.11</v>
      </c>
      <c r="K66" s="17" t="n">
        <v>66</v>
      </c>
      <c r="L66" s="17" t="n">
        <v>12.93</v>
      </c>
    </row>
    <row r="67">
      <c r="A67" s="16" t="inlineStr">
        <is>
          <t>5.29-6.4</t>
        </is>
      </c>
      <c r="B67" s="16" t="inlineStr">
        <is>
          <t>A500-N</t>
        </is>
      </c>
      <c r="C67" s="16" t="inlineStr">
        <is>
          <t>Bocina Bluetooth Portátil Barra de Sonido, Inalámbrica con FM Radio, TWS, USB/TF, Graves Potentes para Hogar y Exteriores</t>
        </is>
      </c>
      <c r="D67" s="17" t="n">
        <v>4594.63</v>
      </c>
      <c r="E67" s="18" t="n">
        <v>0.3343045919466355</v>
      </c>
      <c r="F67" s="16" t="n">
        <v>59</v>
      </c>
      <c r="G67" s="16" t="n">
        <v>52</v>
      </c>
      <c r="H67" s="16" t="n">
        <v>52</v>
      </c>
      <c r="I67" s="17" t="n">
        <v>88.36</v>
      </c>
      <c r="J67" s="17" t="n">
        <v>77.88</v>
      </c>
      <c r="K67" s="17" t="n">
        <v>4674.8</v>
      </c>
      <c r="L67" s="17" t="n">
        <v>1254.32</v>
      </c>
    </row>
    <row r="68">
      <c r="A68" s="16" t="inlineStr">
        <is>
          <t>5.29-6.4</t>
        </is>
      </c>
      <c r="B68" s="16" t="inlineStr">
        <is>
          <t>A500-A</t>
        </is>
      </c>
      <c r="C68" s="16" t="inlineStr">
        <is>
          <t>Bocina Bluetooth Portátil Barra de Sonido, Inalámbrica con FM Radio, TWS, USB/TF, Graves Potentes para Hogar y Exteriores</t>
        </is>
      </c>
      <c r="D68" s="17" t="n">
        <v>2162</v>
      </c>
      <c r="E68" s="18" t="n">
        <v>0.1573065768004247</v>
      </c>
      <c r="F68" s="16" t="n">
        <v>30</v>
      </c>
      <c r="G68" s="16" t="n">
        <v>28</v>
      </c>
      <c r="H68" s="16" t="n">
        <v>28</v>
      </c>
      <c r="I68" s="17" t="n">
        <v>77.20999999999999</v>
      </c>
      <c r="J68" s="17" t="n">
        <v>72.06999999999999</v>
      </c>
      <c r="K68" s="17" t="n">
        <v>2227.44</v>
      </c>
      <c r="L68" s="17" t="n">
        <v>672.36</v>
      </c>
    </row>
    <row r="69">
      <c r="A69" s="16" t="inlineStr">
        <is>
          <t>5.29-6.4</t>
        </is>
      </c>
      <c r="B69" s="16" t="inlineStr">
        <is>
          <t>MB-184N</t>
        </is>
      </c>
      <c r="C69" s="16" t="inlineStr">
        <is>
          <t>Linkbits Portable Bluetooth Speaker - 800W Peak Power, 50W Full-Range Audio with Dual Bass System &amp; Deep Bass Membranes, Powerful &amp; Distortion-Free Sound, IP65 Waterproof Dustproof, TWS Support &amp; 6H Battery for Outdoor/Party</t>
        </is>
      </c>
      <c r="D69" s="17" t="n">
        <v>1186.77</v>
      </c>
      <c r="E69" s="18" t="n">
        <v>0.08634941262930752</v>
      </c>
      <c r="F69" s="16" t="n">
        <v>2</v>
      </c>
      <c r="G69" s="16" t="n">
        <v>2</v>
      </c>
      <c r="H69" s="16" t="n">
        <v>2</v>
      </c>
      <c r="I69" s="17" t="n">
        <v>593.39</v>
      </c>
      <c r="J69" s="17" t="n">
        <v>593.39</v>
      </c>
      <c r="K69" s="17" t="n">
        <v>1176</v>
      </c>
      <c r="L69" s="17" t="n">
        <v>0</v>
      </c>
    </row>
    <row r="70">
      <c r="A70" s="16" t="inlineStr">
        <is>
          <t>5.29-6.4</t>
        </is>
      </c>
      <c r="B70" s="16" t="inlineStr">
        <is>
          <t>SA320T-A</t>
        </is>
      </c>
      <c r="C70" s="16" t="inlineStr">
        <is>
          <t>Altavoz inalámbrico portátil con Luces RGB, Radio FM y Manija - 5h Duración, TWS, TF Card, Compacto y Recargable via USB，Perfecto para viajes, fiestas y gaming</t>
        </is>
      </c>
      <c r="D70" s="17" t="n">
        <v>820.35</v>
      </c>
      <c r="E70" s="18" t="n">
        <v>0.05968856505719456</v>
      </c>
      <c r="F70" s="16" t="n">
        <v>18</v>
      </c>
      <c r="G70" s="16" t="n">
        <v>10</v>
      </c>
      <c r="H70" s="16" t="n">
        <v>10</v>
      </c>
      <c r="I70" s="17" t="n">
        <v>82.03</v>
      </c>
      <c r="J70" s="17" t="n">
        <v>45.57</v>
      </c>
      <c r="K70" s="17" t="n">
        <v>930</v>
      </c>
      <c r="L70" s="17" t="n">
        <v>155.16</v>
      </c>
    </row>
    <row r="71">
      <c r="A71" s="16" t="inlineStr">
        <is>
          <t>5.29-6.4</t>
        </is>
      </c>
      <c r="B71" s="16" t="inlineStr">
        <is>
          <t>A500-R</t>
        </is>
      </c>
      <c r="C71" s="16" t="inlineStr">
        <is>
          <t>Bocina Bluetooth Portátil Barra de Sonido, Inalámbrica con FM Radio, TWS, USB/TF, Graves Potentes para Hogar y Exteriores</t>
        </is>
      </c>
      <c r="D71" s="17" t="n">
        <v>746.22</v>
      </c>
      <c r="E71" s="18" t="n">
        <v>0.0542952517578156</v>
      </c>
      <c r="F71" s="16" t="n">
        <v>10</v>
      </c>
      <c r="G71" s="16" t="n">
        <v>9</v>
      </c>
      <c r="H71" s="16" t="n">
        <v>9</v>
      </c>
      <c r="I71" s="17" t="n">
        <v>82.91</v>
      </c>
      <c r="J71" s="17" t="n">
        <v>74.62</v>
      </c>
      <c r="K71" s="17" t="n">
        <v>787.52</v>
      </c>
      <c r="L71" s="17" t="n">
        <v>193.84</v>
      </c>
    </row>
    <row r="72">
      <c r="A72" s="16" t="inlineStr">
        <is>
          <t>5.29-6.4</t>
        </is>
      </c>
      <c r="B72" s="16" t="inlineStr">
        <is>
          <t>SA320T-R</t>
        </is>
      </c>
      <c r="C72" s="16" t="inlineStr">
        <is>
          <t>Altavoz inalámbrico portátil con Luces RGB, Radio FM y Manija - 5h Duración, TWS, TF Card, Compacto y Recargable via USB，Perfecto para viajes, fiestas y gaming</t>
        </is>
      </c>
      <c r="D72" s="17" t="n">
        <v>595.42</v>
      </c>
      <c r="E72" s="18" t="n">
        <v>0.04332233797797391</v>
      </c>
      <c r="F72" s="16" t="n">
        <v>12</v>
      </c>
      <c r="G72" s="16" t="n">
        <v>9</v>
      </c>
      <c r="H72" s="16" t="n">
        <v>9</v>
      </c>
      <c r="I72" s="17" t="n">
        <v>66.16</v>
      </c>
      <c r="J72" s="17" t="n">
        <v>49.62</v>
      </c>
      <c r="K72" s="17" t="n">
        <v>691</v>
      </c>
      <c r="L72" s="17" t="n">
        <v>155.16</v>
      </c>
    </row>
    <row r="73">
      <c r="A73" s="16" t="inlineStr">
        <is>
          <t>5.29-6.4</t>
        </is>
      </c>
      <c r="B73" s="16" t="inlineStr">
        <is>
          <t>SA320T-P</t>
        </is>
      </c>
      <c r="C73" s="16" t="inlineStr">
        <is>
          <t>Altavoz inalámbrico portátil con Luces RGB, Radio FM y Manija - 5h Duración, TWS, TF Card, Compacto y Recargable via USB，Perfecto para viajes, fiestas y gaming</t>
        </is>
      </c>
      <c r="D73" s="17" t="n">
        <v>587.46</v>
      </c>
      <c r="E73" s="18" t="n">
        <v>0.0427438167087807</v>
      </c>
      <c r="F73" s="16" t="n">
        <v>11</v>
      </c>
      <c r="G73" s="16" t="n">
        <v>5</v>
      </c>
      <c r="H73" s="16" t="n">
        <v>5</v>
      </c>
      <c r="I73" s="17" t="n">
        <v>117.49</v>
      </c>
      <c r="J73" s="17" t="n">
        <v>53.41</v>
      </c>
      <c r="K73" s="17" t="n">
        <v>654</v>
      </c>
      <c r="L73" s="17" t="n">
        <v>51.72</v>
      </c>
    </row>
    <row r="74">
      <c r="A74" s="16" t="inlineStr">
        <is>
          <t>5.29-6.4</t>
        </is>
      </c>
      <c r="B74" s="16" t="inlineStr">
        <is>
          <t>F025</t>
        </is>
      </c>
      <c r="C74" s="16" t="inlineStr">
        <is>
          <t>Sopladora Turbo Inalámbrica 130000 RPM - Aire Comprimido Eléctrico con Batería 8400mAh, Carga Rápida 2.5H, Ajuste Infinito de Velocidad, Kit Limpieza Multiuso para PC, Coche, Hogar y Exteriores</t>
        </is>
      </c>
      <c r="D74" s="17" t="n">
        <v>470.71</v>
      </c>
      <c r="E74" s="18" t="n">
        <v>0.03424847950901035</v>
      </c>
      <c r="F74" s="16" t="n">
        <v>3</v>
      </c>
      <c r="G74" s="16" t="n">
        <v>3</v>
      </c>
      <c r="H74" s="16" t="n">
        <v>3</v>
      </c>
      <c r="I74" s="17" t="n">
        <v>156.9</v>
      </c>
      <c r="J74" s="17" t="n">
        <v>156.9</v>
      </c>
      <c r="K74" s="17" t="n">
        <v>456</v>
      </c>
      <c r="L74" s="17" t="n">
        <v>77.58</v>
      </c>
    </row>
    <row r="75">
      <c r="A75" s="16" t="inlineStr">
        <is>
          <t>5.29-6.4</t>
        </is>
      </c>
      <c r="B75" s="16" t="inlineStr">
        <is>
          <t>MB-185N</t>
        </is>
      </c>
      <c r="C75" s="16" t="inlineStr">
        <is>
          <t>Bocina Radio FM/Reproductor, Compatible con Tarjeta TF, USB, Bluetooth, Aplicable para celular, computadora, Ipad y consola</t>
        </is>
      </c>
      <c r="D75" s="17" t="n">
        <v>419.15</v>
      </c>
      <c r="E75" s="18" t="n">
        <v>0.03049741544089573</v>
      </c>
      <c r="F75" s="16" t="n">
        <v>6</v>
      </c>
      <c r="G75" s="16" t="n">
        <v>6</v>
      </c>
      <c r="H75" s="16" t="n">
        <v>6</v>
      </c>
      <c r="I75" s="17" t="n">
        <v>69.86</v>
      </c>
      <c r="J75" s="17" t="n">
        <v>69.86</v>
      </c>
      <c r="K75" s="17" t="n">
        <v>430.5</v>
      </c>
      <c r="L75" s="17" t="n">
        <v>155.16</v>
      </c>
    </row>
    <row r="76">
      <c r="A76" s="16" t="inlineStr">
        <is>
          <t>5.29-6.4</t>
        </is>
      </c>
      <c r="B76" s="16" t="inlineStr">
        <is>
          <t>MB-183N</t>
        </is>
      </c>
      <c r="C76" s="16" t="inlineStr">
        <is>
          <t>Linkbits Altavoz Bluetooth Portátil con Stereo Inalámbrico TWS Impermeable y a Prueba de Polvo IP65 Altavoz de Graves de Rango Completo de 52mm con Doble Unidad Ligero de 215g para Camping Senderismo y Fiestas al Aire Libre</t>
        </is>
      </c>
      <c r="D76" s="17" t="n">
        <v>385.85</v>
      </c>
      <c r="E76" s="18" t="n">
        <v>0.02807461251622409</v>
      </c>
      <c r="F76" s="16" t="n">
        <v>4</v>
      </c>
      <c r="G76" s="16" t="n">
        <v>4</v>
      </c>
      <c r="H76" s="16" t="n">
        <v>4</v>
      </c>
      <c r="I76" s="17" t="n">
        <v>96.45999999999999</v>
      </c>
      <c r="J76" s="17" t="n">
        <v>96.45999999999999</v>
      </c>
      <c r="K76" s="17" t="n">
        <v>380</v>
      </c>
      <c r="L76" s="17" t="n">
        <v>103.44</v>
      </c>
    </row>
    <row r="77">
      <c r="A77" s="16" t="inlineStr">
        <is>
          <t>5.29-6.4</t>
        </is>
      </c>
      <c r="B77" s="16" t="inlineStr">
        <is>
          <t>MB-185R</t>
        </is>
      </c>
      <c r="C77" s="16" t="inlineStr">
        <is>
          <t>Bocina Radio FM/Reproductor, Compatible con Tarjeta TF, USB, Bluetooth, Aplicable para celular, computadora, Ipad y consola</t>
        </is>
      </c>
      <c r="D77" s="17" t="n">
        <v>383.33</v>
      </c>
      <c r="E77" s="18" t="n">
        <v>0.02789085010379382</v>
      </c>
      <c r="F77" s="16" t="n">
        <v>5</v>
      </c>
      <c r="G77" s="16" t="n">
        <v>5</v>
      </c>
      <c r="H77" s="16" t="n">
        <v>5</v>
      </c>
      <c r="I77" s="17" t="n">
        <v>76.67</v>
      </c>
      <c r="J77" s="17" t="n">
        <v>76.67</v>
      </c>
      <c r="K77" s="17" t="n">
        <v>383.5</v>
      </c>
      <c r="L77" s="17" t="n">
        <v>129.3</v>
      </c>
    </row>
    <row r="78">
      <c r="A78" s="16" t="inlineStr">
        <is>
          <t>5.29-6.4</t>
        </is>
      </c>
      <c r="B78" s="16" t="inlineStr">
        <is>
          <t>MB-185A</t>
        </is>
      </c>
      <c r="C78" s="16" t="inlineStr">
        <is>
          <t>Bocina Radio FM/Reproductor, Compatible con Tarjeta TF, USB, Bluetooth, Aplicable para celular, computadora, Ipad y consola</t>
        </is>
      </c>
      <c r="D78" s="17" t="n">
        <v>375.6</v>
      </c>
      <c r="E78" s="18" t="n">
        <v>0.02732825597748983</v>
      </c>
      <c r="F78" s="16" t="n">
        <v>5</v>
      </c>
      <c r="G78" s="16" t="n">
        <v>5</v>
      </c>
      <c r="H78" s="16" t="n">
        <v>5</v>
      </c>
      <c r="I78" s="17" t="n">
        <v>75.12</v>
      </c>
      <c r="J78" s="17" t="n">
        <v>75.12</v>
      </c>
      <c r="K78" s="17" t="n">
        <v>375</v>
      </c>
      <c r="L78" s="17" t="n">
        <v>129.3</v>
      </c>
    </row>
    <row r="79">
      <c r="A79" s="16" t="inlineStr">
        <is>
          <t>5.29-6.4</t>
        </is>
      </c>
      <c r="B79" s="16" t="inlineStr">
        <is>
          <t>SA320T-V</t>
        </is>
      </c>
      <c r="C79" s="16" t="inlineStr">
        <is>
          <t>Altavoz inalámbrico portátil con Luces RGB, Radio FM y Manija - 5h Duración, TWS, TF Card, Compacto y Recargable via USB，Perfecto para viajes, fiestas y gaming</t>
        </is>
      </c>
      <c r="D79" s="17" t="n">
        <v>327.24</v>
      </c>
      <c r="E79" s="18" t="n">
        <v>0.02380977985508919</v>
      </c>
      <c r="F79" s="16" t="n">
        <v>7</v>
      </c>
      <c r="G79" s="16" t="n">
        <v>5</v>
      </c>
      <c r="H79" s="16" t="n">
        <v>5</v>
      </c>
      <c r="I79" s="17" t="n">
        <v>65.45</v>
      </c>
      <c r="J79" s="17" t="n">
        <v>46.75</v>
      </c>
      <c r="K79" s="17" t="n">
        <v>346</v>
      </c>
      <c r="L79" s="17" t="n">
        <v>103.44</v>
      </c>
    </row>
    <row r="80">
      <c r="A80" s="16" t="inlineStr">
        <is>
          <t>5.29-6.4</t>
        </is>
      </c>
      <c r="B80" s="16" t="inlineStr">
        <is>
          <t>SA315TA</t>
        </is>
      </c>
      <c r="C80" s="16" t="inlineStr">
        <is>
          <t>Altavoz inalámbrico portátil con Luces RGB, Radio FM y Manija - 5h Duración, TWS, TF Card, Compacto y Recargable via USB，Perfecto para viajes, fiestas y gaming</t>
        </is>
      </c>
      <c r="D80" s="17" t="n">
        <v>190.35</v>
      </c>
      <c r="E80" s="18" t="n">
        <v>0.01384956751695224</v>
      </c>
      <c r="F80" s="16" t="n">
        <v>5</v>
      </c>
      <c r="G80" s="16" t="n">
        <v>5</v>
      </c>
      <c r="H80" s="16" t="n">
        <v>5</v>
      </c>
      <c r="I80" s="17" t="n">
        <v>38.07</v>
      </c>
      <c r="J80" s="17" t="n">
        <v>38.07</v>
      </c>
      <c r="K80" s="17" t="n">
        <v>227</v>
      </c>
      <c r="L80" s="17" t="n">
        <v>103.44</v>
      </c>
    </row>
    <row r="81">
      <c r="A81" s="16" t="inlineStr">
        <is>
          <t>5.29-6.4</t>
        </is>
      </c>
      <c r="B81" s="16" t="inlineStr">
        <is>
          <t>MB-183B</t>
        </is>
      </c>
      <c r="C81" s="16" t="inlineStr">
        <is>
          <t>Linkbits Altavoz Bluetooth Portátil con Stereo Inalámbrico TWS Impermeable y a Prueba de Polvo IP65 Altavoz de Graves de Rango Completo de 52mm con Doble Unidad Ligero de 215g para Camping Senderismo y Fiestas al Aire Libre</t>
        </is>
      </c>
      <c r="D81" s="17" t="n">
        <v>161.28</v>
      </c>
      <c r="E81" s="18" t="n">
        <v>0.01173445531044886</v>
      </c>
      <c r="F81" s="16" t="n">
        <v>2</v>
      </c>
      <c r="G81" s="16" t="n">
        <v>2</v>
      </c>
      <c r="H81" s="16" t="n">
        <v>2</v>
      </c>
      <c r="I81" s="17" t="n">
        <v>80.64</v>
      </c>
      <c r="J81" s="17" t="n">
        <v>80.64</v>
      </c>
      <c r="K81" s="17" t="n">
        <v>160</v>
      </c>
      <c r="L81" s="17" t="n">
        <v>51.72</v>
      </c>
    </row>
    <row r="82">
      <c r="A82" s="16" t="inlineStr">
        <is>
          <t>5.29-6.4</t>
        </is>
      </c>
      <c r="B82" s="16" t="inlineStr">
        <is>
          <t>SA320T-N</t>
        </is>
      </c>
      <c r="C82" s="16" t="inlineStr">
        <is>
          <t>Altavoz inalámbrico portátil con Luces RGB, Radio FM y Manija - 5h Duración, TWS, TF Card, Compacto y Recargable via USB，Perfecto para viajes, fiestas y gaming</t>
        </is>
      </c>
      <c r="D82" s="17" t="n">
        <v>153.59</v>
      </c>
      <c r="E82" s="18" t="n">
        <v>0.01117485889217153</v>
      </c>
      <c r="F82" s="16" t="n">
        <v>3</v>
      </c>
      <c r="G82" s="16" t="n">
        <v>3</v>
      </c>
      <c r="H82" s="16" t="n">
        <v>3</v>
      </c>
      <c r="I82" s="17" t="n">
        <v>51.2</v>
      </c>
      <c r="J82" s="17" t="n">
        <v>51.2</v>
      </c>
      <c r="K82" s="17" t="n">
        <v>183</v>
      </c>
      <c r="L82" s="17" t="n">
        <v>51.72</v>
      </c>
    </row>
    <row r="83">
      <c r="A83" s="16" t="inlineStr">
        <is>
          <t>5.29-6.4</t>
        </is>
      </c>
      <c r="B83" s="16" t="inlineStr">
        <is>
          <t>MB-183R</t>
        </is>
      </c>
      <c r="C83" s="16" t="inlineStr">
        <is>
          <t>Linkbits Altavoz Bluetooth Portátil con Stereo Inalámbrico TWS Impermeable y a Prueba de Polvo IP65 Altavoz de Graves de Rango Completo de 52mm con Doble Unidad Ligero de 215g para Camping Senderismo y Fiestas al Aire Libre</t>
        </is>
      </c>
      <c r="D83" s="17" t="n">
        <v>96.45999999999999</v>
      </c>
      <c r="E83" s="18" t="n">
        <v>0.007018653129056023</v>
      </c>
      <c r="F83" s="16" t="n">
        <v>1</v>
      </c>
      <c r="G83" s="16" t="n">
        <v>1</v>
      </c>
      <c r="H83" s="16" t="n">
        <v>1</v>
      </c>
      <c r="I83" s="17" t="n">
        <v>96.45999999999999</v>
      </c>
      <c r="J83" s="17" t="n">
        <v>96.45999999999999</v>
      </c>
      <c r="K83" s="17" t="n">
        <v>95</v>
      </c>
      <c r="L83" s="17" t="n">
        <v>25.86</v>
      </c>
    </row>
    <row r="84">
      <c r="A84" s="16" t="inlineStr">
        <is>
          <t>5.29-6.4</t>
        </is>
      </c>
      <c r="B84" s="16" t="inlineStr">
        <is>
          <t>SA320T-Y</t>
        </is>
      </c>
      <c r="C84" s="16" t="inlineStr">
        <is>
          <t>Altavoz inalámbrico portátil con Luces RGB, Radio FM y Manija - 5h Duración, TWS, TF Card, Compacto y Recargable via USB，Perfecto para viajes, fiestas y gaming</t>
        </is>
      </c>
      <c r="D84" s="17" t="n">
        <v>75.78</v>
      </c>
      <c r="E84" s="18" t="n">
        <v>0.005513880097572486</v>
      </c>
      <c r="F84" s="16" t="n">
        <v>2</v>
      </c>
      <c r="G84" s="16" t="n">
        <v>2</v>
      </c>
      <c r="H84" s="16" t="n">
        <v>2</v>
      </c>
      <c r="I84" s="17" t="n">
        <v>37.89</v>
      </c>
      <c r="J84" s="17" t="n">
        <v>37.89</v>
      </c>
      <c r="K84" s="17" t="n">
        <v>108</v>
      </c>
      <c r="L84" s="17" t="n">
        <v>25.86</v>
      </c>
    </row>
    <row r="85">
      <c r="A85" s="16" t="inlineStr">
        <is>
          <t>5.29-6.4</t>
        </is>
      </c>
      <c r="B85" s="16" t="inlineStr">
        <is>
          <t>SA315TY</t>
        </is>
      </c>
      <c r="C85" s="16" t="inlineStr">
        <is>
          <t>Altavoz inalámbrico portátil con Luces RGB, Radio FM y Manija - 5h Duración, TWS, TF Card, Compacto y Recargable via USB，Perfecto para viajes, fiestas y gaming</t>
        </is>
      </c>
      <c r="D85" s="17" t="n">
        <v>11.66</v>
      </c>
      <c r="E85" s="18" t="n">
        <v>0.0008486387731632517</v>
      </c>
      <c r="F85" s="16" t="n">
        <v>1</v>
      </c>
      <c r="G85" s="16" t="n">
        <v>1</v>
      </c>
      <c r="H85" s="16" t="n">
        <v>1</v>
      </c>
      <c r="I85" s="17" t="n">
        <v>11.66</v>
      </c>
      <c r="J85" s="17" t="n">
        <v>11.66</v>
      </c>
      <c r="K85" s="17" t="n">
        <v>40</v>
      </c>
      <c r="L85" s="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3" customWidth="1" min="3" max="3"/>
    <col width="22" customWidth="1" min="4" max="4"/>
    <col width="13" customWidth="1" min="5" max="5"/>
    <col width="16" customWidth="1" min="6" max="6"/>
    <col width="50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 ht="69" customHeight="1">
      <c r="A1" s="5" t="inlineStr">
        <is>
          <t>周期</t>
        </is>
      </c>
      <c r="B1" s="5" t="inlineStr">
        <is>
          <t>订单ID</t>
        </is>
      </c>
      <c r="C1" s="5" t="inlineStr">
        <is>
          <t>订单状态</t>
        </is>
      </c>
      <c r="D1" s="5" t="inlineStr">
        <is>
          <t>订单行ID</t>
        </is>
      </c>
      <c r="E1" s="5" t="inlineStr">
        <is>
          <t>订单行状态</t>
        </is>
      </c>
      <c r="F1" s="5" t="inlineStr">
        <is>
          <t>SKU</t>
        </is>
      </c>
      <c r="G1" s="5" t="inlineStr">
        <is>
          <t>商品名称</t>
        </is>
      </c>
      <c r="H1" s="5" t="inlineStr">
        <is>
          <t>规格</t>
        </is>
      </c>
      <c r="I1" s="5" t="inlineStr">
        <is>
          <t>销量</t>
        </is>
      </c>
      <c r="J1" s="5" t="inlineStr">
        <is>
          <t>Base price total</t>
        </is>
      </c>
      <c r="K1" s="5" t="inlineStr">
        <is>
          <t>Retail after discounts tax excl.</t>
        </is>
      </c>
      <c r="L1" s="5" t="inlineStr">
        <is>
          <t>Shipping tax excl.</t>
        </is>
      </c>
      <c r="M1" s="5" t="inlineStr">
        <is>
          <t>Product refund</t>
        </is>
      </c>
      <c r="N1" s="5" t="inlineStr">
        <is>
          <t>返还VAT（应收）</t>
        </is>
      </c>
      <c r="O1" s="5" t="inlineStr">
        <is>
          <t>ISR预扣（应扣）</t>
        </is>
      </c>
      <c r="P1" s="5" t="inlineStr">
        <is>
          <t>尾程预估（应扣）</t>
        </is>
      </c>
      <c r="Q1" s="5" t="inlineStr">
        <is>
          <t>GMV</t>
        </is>
      </c>
    </row>
    <row r="2">
      <c r="A2" s="16" t="inlineStr">
        <is>
          <t>5.1-5.7</t>
        </is>
      </c>
      <c r="B2" s="16" t="inlineStr">
        <is>
          <t>PO-128-11217529375352227</t>
        </is>
      </c>
      <c r="C2" s="16" t="inlineStr">
        <is>
          <t>Delivered</t>
        </is>
      </c>
      <c r="D2" s="16" t="inlineStr">
        <is>
          <t>128-11217550346872227</t>
        </is>
      </c>
      <c r="E2" s="16" t="inlineStr">
        <is>
          <t>Delivered</t>
        </is>
      </c>
      <c r="F2" s="16" t="inlineStr">
        <is>
          <t>MB-185N</t>
        </is>
      </c>
      <c r="G2" s="16" t="inlineStr">
        <is>
          <t>Bocina Radio FM/Reproductor, Compatible con Tarjeta TF, USB, Bluetooth, Aplicable para celular, computadora, Ipad y consola</t>
        </is>
      </c>
      <c r="H2" s="16" t="inlineStr">
        <is>
          <t>NEGRO/MB-185</t>
        </is>
      </c>
      <c r="I2" s="16" t="n">
        <v>1</v>
      </c>
      <c r="J2" s="17" t="n">
        <v>85</v>
      </c>
      <c r="K2" s="17" t="n">
        <v>78.37</v>
      </c>
      <c r="L2" s="17" t="n">
        <v>25.86</v>
      </c>
      <c r="M2" s="17" t="n">
        <v>0</v>
      </c>
      <c r="N2" s="17">
        <f>K2*0.08+L2*0.08</f>
        <v/>
      </c>
      <c r="O2" s="17">
        <f>-(K2*0.025+L2*0.025)</f>
        <v/>
      </c>
      <c r="P2" s="17">
        <f>32</f>
        <v/>
      </c>
      <c r="Q2" s="17">
        <f>J2+L2+N2+O2-P2-M2</f>
        <v/>
      </c>
    </row>
    <row r="3">
      <c r="A3" s="16" t="inlineStr">
        <is>
          <t>5.1-5.7</t>
        </is>
      </c>
      <c r="B3" s="16" t="inlineStr">
        <is>
          <t>PO-128-11524305229430460</t>
        </is>
      </c>
      <c r="C3" s="16" t="inlineStr">
        <is>
          <t>Delivered</t>
        </is>
      </c>
      <c r="D3" s="16" t="inlineStr">
        <is>
          <t>128-11524410087030460</t>
        </is>
      </c>
      <c r="E3" s="16" t="inlineStr">
        <is>
          <t>Delivered</t>
        </is>
      </c>
      <c r="F3" s="16" t="inlineStr">
        <is>
          <t>SA320T-A</t>
        </is>
      </c>
      <c r="G3" s="16" t="inlineStr">
        <is>
          <t>Altavoz inalámbrico portátil con Luces RGB, Radio FM y Manija - 5h Duración, TWS, TF Card, Compacto y Recargable via USB，Perfecto para viajes, fiestas y gaming</t>
        </is>
      </c>
      <c r="H3" s="16" t="inlineStr">
        <is>
          <t>azul</t>
        </is>
      </c>
      <c r="I3" s="16" t="n">
        <v>4</v>
      </c>
      <c r="J3" s="17" t="n">
        <v>228</v>
      </c>
      <c r="K3" s="17" t="n">
        <v>227.8</v>
      </c>
      <c r="L3" s="17" t="n">
        <v>0</v>
      </c>
      <c r="M3" s="17" t="n">
        <v>0</v>
      </c>
      <c r="N3" s="17">
        <f>K3*0.08+L3*0.08</f>
        <v/>
      </c>
      <c r="O3" s="17">
        <f>-(K3*0.025+L3*0.025)</f>
        <v/>
      </c>
      <c r="P3" s="17">
        <f>32</f>
        <v/>
      </c>
      <c r="Q3" s="17">
        <f>J3+L3+N3+O3-P3-M3</f>
        <v/>
      </c>
    </row>
    <row r="4">
      <c r="A4" s="16" t="inlineStr">
        <is>
          <t>5.1-5.7</t>
        </is>
      </c>
      <c r="B4" s="16" t="inlineStr">
        <is>
          <t>PO-128-11519186238070429</t>
        </is>
      </c>
      <c r="C4" s="16" t="inlineStr">
        <is>
          <t>Delivered</t>
        </is>
      </c>
      <c r="D4" s="16" t="inlineStr">
        <is>
          <t>128-11519207209590429</t>
        </is>
      </c>
      <c r="E4" s="16" t="inlineStr">
        <is>
          <t>Delivered</t>
        </is>
      </c>
      <c r="F4" s="16" t="inlineStr">
        <is>
          <t>MB-185N</t>
        </is>
      </c>
      <c r="G4" s="16" t="inlineStr">
        <is>
          <t>Bocina Radio FM/Reproductor, Compatible con Tarjeta TF, USB, Bluetooth, Aplicable para celular, computadora, Ipad y consola</t>
        </is>
      </c>
      <c r="H4" s="16" t="inlineStr">
        <is>
          <t>NEGRO/MB-185</t>
        </is>
      </c>
      <c r="I4" s="16" t="n">
        <v>1</v>
      </c>
      <c r="J4" s="17" t="n">
        <v>85</v>
      </c>
      <c r="K4" s="17" t="n">
        <v>37.62</v>
      </c>
      <c r="L4" s="17" t="n">
        <v>25.86</v>
      </c>
      <c r="M4" s="17" t="n">
        <v>0</v>
      </c>
      <c r="N4" s="17">
        <f>K4*0.08+L4*0.08</f>
        <v/>
      </c>
      <c r="O4" s="17">
        <f>-(K4*0.025+L4*0.025)</f>
        <v/>
      </c>
      <c r="P4" s="17">
        <f>32</f>
        <v/>
      </c>
      <c r="Q4" s="17">
        <f>J4+L4+N4+O4-P4-M4</f>
        <v/>
      </c>
    </row>
    <row r="5">
      <c r="A5" s="16" t="inlineStr">
        <is>
          <t>5.1-5.7</t>
        </is>
      </c>
      <c r="B5" s="16" t="inlineStr">
        <is>
          <t>PO-128-11434546913911957</t>
        </is>
      </c>
      <c r="C5" s="16" t="inlineStr">
        <is>
          <t>Delivered</t>
        </is>
      </c>
      <c r="D5" s="16" t="inlineStr">
        <is>
          <t>128-11434651771511957</t>
        </is>
      </c>
      <c r="E5" s="16" t="inlineStr">
        <is>
          <t>Delivered</t>
        </is>
      </c>
      <c r="F5" s="16" t="inlineStr">
        <is>
          <t>SA320T-A</t>
        </is>
      </c>
      <c r="G5" s="16" t="inlineStr">
        <is>
          <t>Altavoz inalámbrico portátil con Luces RGB, Radio FM y Manija - 5h Duración, TWS, TF Card, Compacto y Recargable via USB，Perfecto para viajes, fiestas y gaming</t>
        </is>
      </c>
      <c r="H5" s="16" t="inlineStr">
        <is>
          <t>azul</t>
        </is>
      </c>
      <c r="I5" s="16" t="n">
        <v>1</v>
      </c>
      <c r="J5" s="17" t="n">
        <v>57</v>
      </c>
      <c r="K5" s="17" t="n">
        <v>57.57</v>
      </c>
      <c r="L5" s="17" t="n">
        <v>25.86</v>
      </c>
      <c r="M5" s="17" t="n">
        <v>0</v>
      </c>
      <c r="N5" s="17">
        <f>K5*0.08+L5*0.08</f>
        <v/>
      </c>
      <c r="O5" s="17">
        <f>-(K5*0.025+L5*0.025)</f>
        <v/>
      </c>
      <c r="P5" s="17">
        <f>32</f>
        <v/>
      </c>
      <c r="Q5" s="17">
        <f>J5+L5+N5+O5-P5-M5</f>
        <v/>
      </c>
    </row>
    <row r="6">
      <c r="A6" s="16" t="inlineStr">
        <is>
          <t>5.1-5.7</t>
        </is>
      </c>
      <c r="B6" s="16" t="inlineStr">
        <is>
          <t>PO-128-11523700736630464</t>
        </is>
      </c>
      <c r="C6" s="16" t="inlineStr">
        <is>
          <t>Delivered</t>
        </is>
      </c>
      <c r="D6" s="16" t="inlineStr">
        <is>
          <t>128-11523753165430464</t>
        </is>
      </c>
      <c r="E6" s="16" t="inlineStr">
        <is>
          <t>Delivered</t>
        </is>
      </c>
      <c r="F6" s="16" t="inlineStr">
        <is>
          <t>A500-N</t>
        </is>
      </c>
      <c r="G6" s="16" t="inlineStr">
        <is>
          <t>Bocina Bluetooth Portátil Barra de Sonido, Inalámbrica con FM Radio, TWS, USB/TF, Graves Potentes para Hogar y Exteriores</t>
        </is>
      </c>
      <c r="H6" s="16" t="inlineStr">
        <is>
          <t>NEGRO</t>
        </is>
      </c>
      <c r="I6" s="16" t="n">
        <v>1</v>
      </c>
      <c r="J6" s="17" t="n">
        <v>81.95999999999999</v>
      </c>
      <c r="K6" s="17" t="n">
        <v>75.84999999999999</v>
      </c>
      <c r="L6" s="17" t="n">
        <v>25.86</v>
      </c>
      <c r="M6" s="17" t="n">
        <v>0</v>
      </c>
      <c r="N6" s="17">
        <f>K6*0.08+L6*0.08</f>
        <v/>
      </c>
      <c r="O6" s="17">
        <f>-(K6*0.025+L6*0.025)</f>
        <v/>
      </c>
      <c r="P6" s="17">
        <f>32</f>
        <v/>
      </c>
      <c r="Q6" s="17">
        <f>J6+L6+N6+O6-P6-M6</f>
        <v/>
      </c>
    </row>
    <row r="7">
      <c r="A7" s="16" t="inlineStr">
        <is>
          <t>5.1-5.7</t>
        </is>
      </c>
      <c r="B7" s="16" t="inlineStr">
        <is>
          <t>PO-128-11073126257273150</t>
        </is>
      </c>
      <c r="C7" s="16" t="inlineStr">
        <is>
          <t>Delivered</t>
        </is>
      </c>
      <c r="D7" s="16" t="inlineStr">
        <is>
          <t>128-11073121014393150</t>
        </is>
      </c>
      <c r="E7" s="16" t="inlineStr">
        <is>
          <t>Delivered</t>
        </is>
      </c>
      <c r="F7" s="16" t="inlineStr">
        <is>
          <t>SA320T-A</t>
        </is>
      </c>
      <c r="G7" s="16" t="inlineStr">
        <is>
          <t>Altavoz inalámbrico portátil con Luces RGB, Radio FM y Manija - 5h Duración, TWS, TF Card, Compacto y Recargable via USB，Perfecto para viajes, fiestas y gaming</t>
        </is>
      </c>
      <c r="H7" s="16" t="inlineStr">
        <is>
          <t>azul</t>
        </is>
      </c>
      <c r="I7" s="16" t="n">
        <v>1</v>
      </c>
      <c r="J7" s="17" t="n">
        <v>57</v>
      </c>
      <c r="K7" s="17" t="n">
        <v>54.17</v>
      </c>
      <c r="L7" s="17" t="n">
        <v>12.21</v>
      </c>
      <c r="M7" s="17" t="n">
        <v>0</v>
      </c>
      <c r="N7" s="17">
        <f>K7*0.08+L7*0.08</f>
        <v/>
      </c>
      <c r="O7" s="17">
        <f>-(K7*0.025+L7*0.025)</f>
        <v/>
      </c>
      <c r="P7" s="17">
        <f>32</f>
        <v/>
      </c>
      <c r="Q7" s="17">
        <f>J7+L7+N7+O7-P7-M7</f>
        <v/>
      </c>
    </row>
    <row r="8">
      <c r="A8" s="16" t="inlineStr">
        <is>
          <t>5.1-5.7</t>
        </is>
      </c>
      <c r="B8" s="16" t="inlineStr">
        <is>
          <t>PO-128-11073126257273150</t>
        </is>
      </c>
      <c r="C8" s="16" t="inlineStr">
        <is>
          <t>Delivered</t>
        </is>
      </c>
      <c r="D8" s="16" t="inlineStr">
        <is>
          <t>128-11073115771513150</t>
        </is>
      </c>
      <c r="E8" s="16" t="inlineStr">
        <is>
          <t>Delivered</t>
        </is>
      </c>
      <c r="F8" s="16" t="inlineStr">
        <is>
          <t>SA320T-R</t>
        </is>
      </c>
      <c r="G8" s="16" t="inlineStr">
        <is>
          <t>Altavoz inalámbrico portátil con Luces RGB, Radio FM y Manija - 5h Duración, TWS, TF Card, Compacto y Recargable via USB，Perfecto para viajes, fiestas y gaming</t>
        </is>
      </c>
      <c r="H8" s="16" t="inlineStr">
        <is>
          <t>rojo</t>
        </is>
      </c>
      <c r="I8" s="16" t="n">
        <v>1</v>
      </c>
      <c r="J8" s="17" t="n">
        <v>65</v>
      </c>
      <c r="K8" s="17" t="n">
        <v>60.57</v>
      </c>
      <c r="L8" s="17" t="n">
        <v>13.66</v>
      </c>
      <c r="M8" s="17" t="n">
        <v>0</v>
      </c>
      <c r="N8" s="17">
        <f>K8*0.08+L8*0.08</f>
        <v/>
      </c>
      <c r="O8" s="17">
        <f>-(K8*0.025+L8*0.025)</f>
        <v/>
      </c>
      <c r="P8" s="17">
        <f>32</f>
        <v/>
      </c>
      <c r="Q8" s="17">
        <f>J8+L8+N8+O8-P8-M8</f>
        <v/>
      </c>
    </row>
    <row r="9">
      <c r="A9" s="16" t="inlineStr">
        <is>
          <t>5.1-5.7</t>
        </is>
      </c>
      <c r="B9" s="16" t="inlineStr">
        <is>
          <t>PO-128-11312949985912808</t>
        </is>
      </c>
      <c r="C9" s="16" t="inlineStr">
        <is>
          <t>Delivered</t>
        </is>
      </c>
      <c r="D9" s="16" t="inlineStr">
        <is>
          <t>128-11312908042872808</t>
        </is>
      </c>
      <c r="E9" s="16" t="inlineStr">
        <is>
          <t>Delivered</t>
        </is>
      </c>
      <c r="F9" s="16" t="inlineStr">
        <is>
          <t>A500-N</t>
        </is>
      </c>
      <c r="G9" s="16" t="inlineStr">
        <is>
          <t>Bocina Bluetooth Portátil Barra de Sonido, Inalámbrica con FM Radio, TWS, USB/TF, Graves Potentes para Hogar y Exteriores</t>
        </is>
      </c>
      <c r="H9" s="16" t="inlineStr">
        <is>
          <t>NEGRO</t>
        </is>
      </c>
      <c r="I9" s="16" t="n">
        <v>1</v>
      </c>
      <c r="J9" s="17" t="n">
        <v>81.95999999999999</v>
      </c>
      <c r="K9" s="17" t="n">
        <v>94.81999999999999</v>
      </c>
      <c r="L9" s="17" t="n">
        <v>25.86</v>
      </c>
      <c r="M9" s="17" t="n">
        <v>0</v>
      </c>
      <c r="N9" s="17">
        <f>K9*0.08+L9*0.08</f>
        <v/>
      </c>
      <c r="O9" s="17">
        <f>-(K9*0.025+L9*0.025)</f>
        <v/>
      </c>
      <c r="P9" s="17">
        <f>32</f>
        <v/>
      </c>
      <c r="Q9" s="17">
        <f>J9+L9+N9+O9-P9-M9</f>
        <v/>
      </c>
    </row>
    <row r="10">
      <c r="A10" s="16" t="inlineStr">
        <is>
          <t>5.1-5.7</t>
        </is>
      </c>
      <c r="B10" s="16" t="inlineStr">
        <is>
          <t>PO-128-00395699879031192</t>
        </is>
      </c>
      <c r="C10" s="16" t="inlineStr">
        <is>
          <t>Delivered</t>
        </is>
      </c>
      <c r="D10" s="16" t="inlineStr">
        <is>
          <t>128-00395768036471192</t>
        </is>
      </c>
      <c r="E10" s="16" t="inlineStr">
        <is>
          <t>Delivered</t>
        </is>
      </c>
      <c r="F10" s="16" t="inlineStr">
        <is>
          <t>A500-N</t>
        </is>
      </c>
      <c r="G10" s="16" t="inlineStr">
        <is>
          <t>Bocina Bluetooth Portátil Barra de Sonido, Inalámbrica con FM Radio, TWS, USB/TF, Graves Potentes para Hogar y Exteriores</t>
        </is>
      </c>
      <c r="H10" s="16" t="inlineStr">
        <is>
          <t>NEGRO</t>
        </is>
      </c>
      <c r="I10" s="16" t="n">
        <v>1</v>
      </c>
      <c r="J10" s="17" t="n">
        <v>81.95999999999999</v>
      </c>
      <c r="K10" s="17" t="n">
        <v>75.86</v>
      </c>
      <c r="L10" s="17" t="n">
        <v>25.86</v>
      </c>
      <c r="M10" s="17" t="n">
        <v>0</v>
      </c>
      <c r="N10" s="17">
        <f>K10*0.08+L10*0.08</f>
        <v/>
      </c>
      <c r="O10" s="17">
        <f>-(K10*0.025+L10*0.025)</f>
        <v/>
      </c>
      <c r="P10" s="17">
        <f>32</f>
        <v/>
      </c>
      <c r="Q10" s="17">
        <f>J10+L10+N10+O10-P10-M10</f>
        <v/>
      </c>
    </row>
    <row r="11">
      <c r="A11" s="16" t="inlineStr">
        <is>
          <t>5.1-5.7</t>
        </is>
      </c>
      <c r="B11" s="16" t="inlineStr">
        <is>
          <t>PO-128-00508703360631606</t>
        </is>
      </c>
      <c r="C11" s="16" t="inlineStr">
        <is>
          <t>Delivered</t>
        </is>
      </c>
      <c r="D11" s="16" t="inlineStr">
        <is>
          <t>128-00508713846391606</t>
        </is>
      </c>
      <c r="E11" s="16" t="inlineStr">
        <is>
          <t>Delivered</t>
        </is>
      </c>
      <c r="F11" s="16" t="inlineStr">
        <is>
          <t>F025</t>
        </is>
      </c>
      <c r="G11" s="16" t="inlineStr">
        <is>
          <t>Sopladora Turbo Inalámbrica 130000 RPM - Aire Comprimido Eléctrico con Batería 8400mAh, Carga Rápida 2.5H, Ajuste Infinito de Velocidad, Kit Limpieza Multiuso para PC, Coche, Hogar y Exteriores</t>
        </is>
      </c>
      <c r="H11" s="16" t="inlineStr">
        <is>
          <t>Unidad Individual/1Pieza</t>
        </is>
      </c>
      <c r="I11" s="16" t="n">
        <v>2</v>
      </c>
      <c r="J11" s="17" t="n">
        <v>304</v>
      </c>
      <c r="K11" s="17" t="n">
        <v>321.8</v>
      </c>
      <c r="L11" s="17" t="n">
        <v>0</v>
      </c>
      <c r="M11" s="17" t="n">
        <v>0</v>
      </c>
      <c r="N11" s="17">
        <f>K11*0.08+L11*0.08</f>
        <v/>
      </c>
      <c r="O11" s="17">
        <f>-(K11*0.025+L11*0.025)</f>
        <v/>
      </c>
      <c r="P11" s="17">
        <f>32</f>
        <v/>
      </c>
      <c r="Q11" s="17">
        <f>J11+L11+N11+O11-P11-M11</f>
        <v/>
      </c>
    </row>
    <row r="12">
      <c r="A12" s="16" t="inlineStr">
        <is>
          <t>5.1-5.7</t>
        </is>
      </c>
      <c r="B12" s="16" t="inlineStr">
        <is>
          <t>PO-128-00479254961271718</t>
        </is>
      </c>
      <c r="C12" s="16" t="inlineStr">
        <is>
          <t>Delivered</t>
        </is>
      </c>
      <c r="D12" s="16" t="inlineStr">
        <is>
          <t>128-00479307390071718</t>
        </is>
      </c>
      <c r="E12" s="16" t="inlineStr">
        <is>
          <t>Delivered</t>
        </is>
      </c>
      <c r="F12" s="16" t="inlineStr">
        <is>
          <t>F025</t>
        </is>
      </c>
      <c r="G12" s="16" t="inlineStr">
        <is>
          <t>Sopladora Turbo Inalámbrica 130000 RPM - Aire Comprimido Eléctrico con Batería 8400mAh, Carga Rápida 2.5H, Ajuste Infinito de Velocidad, Kit Limpieza Multiuso para PC, Coche, Hogar y Exteriores</t>
        </is>
      </c>
      <c r="H12" s="16" t="inlineStr">
        <is>
          <t>Unidad Individual/1Pieza</t>
        </is>
      </c>
      <c r="I12" s="16" t="n">
        <v>1</v>
      </c>
      <c r="J12" s="17" t="n">
        <v>152</v>
      </c>
      <c r="K12" s="17" t="n">
        <v>160.9</v>
      </c>
      <c r="L12" s="17" t="n">
        <v>25.86</v>
      </c>
      <c r="M12" s="17" t="n">
        <v>0</v>
      </c>
      <c r="N12" s="17">
        <f>K12*0.08+L12*0.08</f>
        <v/>
      </c>
      <c r="O12" s="17">
        <f>-(K12*0.025+L12*0.025)</f>
        <v/>
      </c>
      <c r="P12" s="17">
        <f>32</f>
        <v/>
      </c>
      <c r="Q12" s="17">
        <f>J12+L12+N12+O12-P12-M12</f>
        <v/>
      </c>
    </row>
    <row r="13">
      <c r="A13" s="16" t="inlineStr">
        <is>
          <t>5.1-5.7</t>
        </is>
      </c>
      <c r="B13" s="16" t="inlineStr">
        <is>
          <t>PO-128-00271563615353020</t>
        </is>
      </c>
      <c r="C13" s="16" t="inlineStr">
        <is>
          <t>Delivered</t>
        </is>
      </c>
      <c r="D13" s="16" t="inlineStr">
        <is>
          <t>128-00271500700793020</t>
        </is>
      </c>
      <c r="E13" s="16" t="inlineStr">
        <is>
          <t>Delivered</t>
        </is>
      </c>
      <c r="F13" s="16" t="inlineStr">
        <is>
          <t>A500-R</t>
        </is>
      </c>
      <c r="G13" s="16" t="inlineStr">
        <is>
          <t>Bocina Bluetooth Portátil Barra de Sonido, Inalámbrica con FM Radio, TWS, USB/TF, Graves Potentes para Hogar y Exteriores</t>
        </is>
      </c>
      <c r="H13" s="16" t="inlineStr">
        <is>
          <t>ROIO</t>
        </is>
      </c>
      <c r="I13" s="16" t="n">
        <v>1</v>
      </c>
      <c r="J13" s="17" t="n">
        <v>80</v>
      </c>
      <c r="K13" s="17" t="n">
        <v>86.40000000000001</v>
      </c>
      <c r="L13" s="17" t="n">
        <v>0</v>
      </c>
      <c r="M13" s="17" t="n">
        <v>0</v>
      </c>
      <c r="N13" s="17">
        <f>K13*0.08+L13*0.08</f>
        <v/>
      </c>
      <c r="O13" s="17">
        <f>-(K13*0.025+L13*0.025)</f>
        <v/>
      </c>
      <c r="P13" s="17">
        <f>32</f>
        <v/>
      </c>
      <c r="Q13" s="17">
        <f>J13+L13+N13+O13-P13-M13</f>
        <v/>
      </c>
    </row>
    <row r="14">
      <c r="A14" s="16" t="inlineStr">
        <is>
          <t>5.1-5.7</t>
        </is>
      </c>
      <c r="B14" s="16" t="inlineStr">
        <is>
          <t>PO-128-00271563615353020</t>
        </is>
      </c>
      <c r="C14" s="16" t="inlineStr">
        <is>
          <t>Delivered</t>
        </is>
      </c>
      <c r="D14" s="16" t="inlineStr">
        <is>
          <t>128-00271542643833020</t>
        </is>
      </c>
      <c r="E14" s="16" t="inlineStr">
        <is>
          <t>Delivered</t>
        </is>
      </c>
      <c r="F14" s="16" t="inlineStr">
        <is>
          <t>A500-A</t>
        </is>
      </c>
      <c r="G14" s="16" t="inlineStr">
        <is>
          <t>Bocina Bluetooth Portátil Barra de Sonido, Inalámbrica con FM Radio, TWS, USB/TF, Graves Potentes para Hogar y Exteriores</t>
        </is>
      </c>
      <c r="H14" s="16" t="inlineStr">
        <is>
          <t>AZUL</t>
        </is>
      </c>
      <c r="I14" s="16" t="n">
        <v>1</v>
      </c>
      <c r="J14" s="17" t="n">
        <v>78.88</v>
      </c>
      <c r="K14" s="17" t="n">
        <v>85.34999999999999</v>
      </c>
      <c r="L14" s="17" t="n">
        <v>0</v>
      </c>
      <c r="M14" s="17" t="n">
        <v>0</v>
      </c>
      <c r="N14" s="17">
        <f>K14*0.08+L14*0.08</f>
        <v/>
      </c>
      <c r="O14" s="17">
        <f>-(K14*0.025+L14*0.025)</f>
        <v/>
      </c>
      <c r="P14" s="17">
        <f>32</f>
        <v/>
      </c>
      <c r="Q14" s="17">
        <f>J14+L14+N14+O14-P14-M14</f>
        <v/>
      </c>
    </row>
    <row r="15">
      <c r="A15" s="16" t="inlineStr">
        <is>
          <t>5.1-5.7</t>
        </is>
      </c>
      <c r="B15" s="16" t="inlineStr">
        <is>
          <t>PO-128-00271563615353020</t>
        </is>
      </c>
      <c r="C15" s="16" t="inlineStr">
        <is>
          <t>Delivered</t>
        </is>
      </c>
      <c r="D15" s="16" t="inlineStr">
        <is>
          <t>128-00271584586873020</t>
        </is>
      </c>
      <c r="E15" s="16" t="inlineStr">
        <is>
          <t>Delivered</t>
        </is>
      </c>
      <c r="F15" s="16" t="inlineStr">
        <is>
          <t>A500-N</t>
        </is>
      </c>
      <c r="G15" s="16" t="inlineStr">
        <is>
          <t>Bocina Bluetooth Portátil Barra de Sonido, Inalámbrica con FM Radio, TWS, USB/TF, Graves Potentes para Hogar y Exteriores</t>
        </is>
      </c>
      <c r="H15" s="16" t="inlineStr">
        <is>
          <t>NEGRO</t>
        </is>
      </c>
      <c r="I15" s="16" t="n">
        <v>1</v>
      </c>
      <c r="J15" s="17" t="n">
        <v>81.95999999999999</v>
      </c>
      <c r="K15" s="17" t="n">
        <v>87</v>
      </c>
      <c r="L15" s="17" t="n">
        <v>0</v>
      </c>
      <c r="M15" s="17" t="n">
        <v>0</v>
      </c>
      <c r="N15" s="17">
        <f>K15*0.08+L15*0.08</f>
        <v/>
      </c>
      <c r="O15" s="17">
        <f>-(K15*0.025+L15*0.025)</f>
        <v/>
      </c>
      <c r="P15" s="17">
        <f>32</f>
        <v/>
      </c>
      <c r="Q15" s="17">
        <f>J15+L15+N15+O15-P15-M15</f>
        <v/>
      </c>
    </row>
    <row r="16">
      <c r="A16" s="16" t="inlineStr">
        <is>
          <t>5.1-5.7</t>
        </is>
      </c>
      <c r="B16" s="16" t="inlineStr">
        <is>
          <t>PO-128-00443650330231994</t>
        </is>
      </c>
      <c r="C16" s="16" t="inlineStr">
        <is>
          <t>Delivered</t>
        </is>
      </c>
      <c r="D16" s="16" t="inlineStr">
        <is>
          <t>128-00443618872951994</t>
        </is>
      </c>
      <c r="E16" s="16" t="inlineStr">
        <is>
          <t>Delivered</t>
        </is>
      </c>
      <c r="F16" s="16" t="inlineStr">
        <is>
          <t>F025</t>
        </is>
      </c>
      <c r="G16" s="16" t="inlineStr">
        <is>
          <t>Sopladora Turbo Inalámbrica 130000 RPM - Aire Comprimido Eléctrico con Batería 8400mAh, Carga Rápida 2.5H, Ajuste Infinito de Velocidad, Kit Limpieza Multiuso para PC, Coche, Hogar y Exteriores</t>
        </is>
      </c>
      <c r="H16" s="16" t="inlineStr">
        <is>
          <t>Unidad Individual/1Pieza</t>
        </is>
      </c>
      <c r="I16" s="16" t="n">
        <v>1</v>
      </c>
      <c r="J16" s="17" t="n">
        <v>152</v>
      </c>
      <c r="K16" s="17" t="n">
        <v>201.12</v>
      </c>
      <c r="L16" s="17" t="n">
        <v>25.86</v>
      </c>
      <c r="M16" s="17" t="n">
        <v>0</v>
      </c>
      <c r="N16" s="17">
        <f>K16*0.08+L16*0.08</f>
        <v/>
      </c>
      <c r="O16" s="17">
        <f>-(K16*0.025+L16*0.025)</f>
        <v/>
      </c>
      <c r="P16" s="17">
        <f>32</f>
        <v/>
      </c>
      <c r="Q16" s="17">
        <f>J16+L16+N16+O16-P16-M16</f>
        <v/>
      </c>
    </row>
    <row r="17">
      <c r="A17" s="16" t="inlineStr">
        <is>
          <t>5.1-5.7</t>
        </is>
      </c>
      <c r="B17" s="16" t="inlineStr">
        <is>
          <t>PO-128-00566552376950174</t>
        </is>
      </c>
      <c r="C17" s="16" t="inlineStr">
        <is>
          <t>Delivered</t>
        </is>
      </c>
      <c r="D17" s="16" t="inlineStr">
        <is>
          <t>128-00566510433910174</t>
        </is>
      </c>
      <c r="E17" s="16" t="inlineStr">
        <is>
          <t>Delivered</t>
        </is>
      </c>
      <c r="F17" s="16" t="inlineStr">
        <is>
          <t>MB-184R</t>
        </is>
      </c>
      <c r="G17" s="16" t="inlineStr">
        <is>
          <t>Linkbits Portable Bluetooth Speaker - 800W Peak Power, 50W Full-Range Audio with Dual Bass System &amp; Deep Bass Membranes, Powerful &amp; Distortion-Free Sound, IP65 Waterproof Dustproof, TWS Support &amp; 6H Battery for Outdoor/Party</t>
        </is>
      </c>
      <c r="H17" s="16" t="inlineStr">
        <is>
          <t>ROJO/MB-184</t>
        </is>
      </c>
      <c r="I17" s="16" t="n">
        <v>1</v>
      </c>
      <c r="J17" s="17" t="n">
        <v>610</v>
      </c>
      <c r="K17" s="17" t="n">
        <v>590.3200000000001</v>
      </c>
      <c r="L17" s="17" t="n">
        <v>0</v>
      </c>
      <c r="M17" s="17" t="n">
        <v>0</v>
      </c>
      <c r="N17" s="17">
        <f>K17*0.08+L17*0.08</f>
        <v/>
      </c>
      <c r="O17" s="17">
        <f>-(K17*0.025+L17*0.025)</f>
        <v/>
      </c>
      <c r="P17" s="17">
        <f>32</f>
        <v/>
      </c>
      <c r="Q17" s="17">
        <f>J17+L17+N17+O17-P17-M17</f>
        <v/>
      </c>
    </row>
    <row r="18">
      <c r="A18" s="16" t="inlineStr">
        <is>
          <t>5.1-5.7</t>
        </is>
      </c>
      <c r="B18" s="16" t="inlineStr">
        <is>
          <t>PO-128-00566460585590174</t>
        </is>
      </c>
      <c r="C18" s="16" t="inlineStr">
        <is>
          <t>Delivered</t>
        </is>
      </c>
      <c r="D18" s="16" t="inlineStr">
        <is>
          <t>128-00566429128310174</t>
        </is>
      </c>
      <c r="E18" s="16" t="inlineStr">
        <is>
          <t>Delivered</t>
        </is>
      </c>
      <c r="F18" s="16" t="inlineStr">
        <is>
          <t>MB-184R</t>
        </is>
      </c>
      <c r="G18" s="16" t="inlineStr">
        <is>
          <t>Linkbits Portable Bluetooth Speaker - 800W Peak Power, 50W Full-Range Audio with Dual Bass System &amp; Deep Bass Membranes, Powerful &amp; Distortion-Free Sound, IP65 Waterproof Dustproof, TWS Support &amp; 6H Battery for Outdoor/Party</t>
        </is>
      </c>
      <c r="H18" s="16" t="inlineStr">
        <is>
          <t>ROJO/MB-184</t>
        </is>
      </c>
      <c r="I18" s="16" t="n">
        <v>1</v>
      </c>
      <c r="J18" s="17" t="n">
        <v>610</v>
      </c>
      <c r="K18" s="17" t="n">
        <v>719.63</v>
      </c>
      <c r="L18" s="17" t="n">
        <v>0</v>
      </c>
      <c r="M18" s="17" t="n">
        <v>0</v>
      </c>
      <c r="N18" s="17">
        <f>K18*0.08+L18*0.08</f>
        <v/>
      </c>
      <c r="O18" s="17">
        <f>-(K18*0.025+L18*0.025)</f>
        <v/>
      </c>
      <c r="P18" s="17">
        <f>32</f>
        <v/>
      </c>
      <c r="Q18" s="17">
        <f>J18+L18+N18+O18-P18-M18</f>
        <v/>
      </c>
    </row>
    <row r="19">
      <c r="A19" s="16" t="inlineStr">
        <is>
          <t>5.1-5.7</t>
        </is>
      </c>
      <c r="B19" s="16" t="inlineStr">
        <is>
          <t>PO-128-00492893194871767</t>
        </is>
      </c>
      <c r="C19" s="16" t="inlineStr">
        <is>
          <t>Delivered</t>
        </is>
      </c>
      <c r="D19" s="16" t="inlineStr">
        <is>
          <t>128-00492851251831767</t>
        </is>
      </c>
      <c r="E19" s="16" t="inlineStr">
        <is>
          <t>Delivered</t>
        </is>
      </c>
      <c r="F19" s="16" t="inlineStr">
        <is>
          <t>A500-N</t>
        </is>
      </c>
      <c r="G19" s="16" t="inlineStr">
        <is>
          <t>Bocina Bluetooth Portátil Barra de Sonido, Inalámbrica con FM Radio, TWS, USB/TF, Graves Potentes para Hogar y Exteriores</t>
        </is>
      </c>
      <c r="H19" s="16" t="inlineStr">
        <is>
          <t>NEGRO</t>
        </is>
      </c>
      <c r="I19" s="16" t="n">
        <v>1</v>
      </c>
      <c r="J19" s="17" t="n">
        <v>81.95999999999999</v>
      </c>
      <c r="K19" s="17" t="n">
        <v>94.81999999999999</v>
      </c>
      <c r="L19" s="17" t="n">
        <v>25.86</v>
      </c>
      <c r="M19" s="17" t="n">
        <v>0</v>
      </c>
      <c r="N19" s="17">
        <f>K19*0.08+L19*0.08</f>
        <v/>
      </c>
      <c r="O19" s="17">
        <f>-(K19*0.025+L19*0.025)</f>
        <v/>
      </c>
      <c r="P19" s="17">
        <f>32</f>
        <v/>
      </c>
      <c r="Q19" s="17">
        <f>J19+L19+N19+O19-P19-M19</f>
        <v/>
      </c>
    </row>
    <row r="20">
      <c r="A20" s="16" t="inlineStr">
        <is>
          <t>5.1-5.7</t>
        </is>
      </c>
      <c r="B20" s="16" t="inlineStr">
        <is>
          <t>PO-128-19816593700470250</t>
        </is>
      </c>
      <c r="C20" s="16" t="inlineStr">
        <is>
          <t>Delivered</t>
        </is>
      </c>
      <c r="D20" s="16" t="inlineStr">
        <is>
          <t>128-19816646129270250</t>
        </is>
      </c>
      <c r="E20" s="16" t="inlineStr">
        <is>
          <t>Delivered</t>
        </is>
      </c>
      <c r="F20" s="16" t="inlineStr">
        <is>
          <t>A500-N</t>
        </is>
      </c>
      <c r="G20" s="16" t="inlineStr">
        <is>
          <t>Bocina Bluetooth Portátil Barra de Sonido, Inalámbrica con FM Radio, TWS, USB/TF, Graves Potentes para Hogar y Exteriores</t>
        </is>
      </c>
      <c r="H20" s="16" t="inlineStr">
        <is>
          <t>NEGRO</t>
        </is>
      </c>
      <c r="I20" s="16" t="n">
        <v>1</v>
      </c>
      <c r="J20" s="17" t="n">
        <v>81.95999999999999</v>
      </c>
      <c r="K20" s="17" t="n">
        <v>94.81999999999999</v>
      </c>
      <c r="L20" s="17" t="n">
        <v>25.86</v>
      </c>
      <c r="M20" s="17" t="n">
        <v>0</v>
      </c>
      <c r="N20" s="17">
        <f>K20*0.08+L20*0.08</f>
        <v/>
      </c>
      <c r="O20" s="17">
        <f>-(K20*0.025+L20*0.025)</f>
        <v/>
      </c>
      <c r="P20" s="17">
        <f>32</f>
        <v/>
      </c>
      <c r="Q20" s="17">
        <f>J20+L20+N20+O20-P20-M20</f>
        <v/>
      </c>
    </row>
    <row r="21">
      <c r="A21" s="16" t="inlineStr">
        <is>
          <t>5.1-5.7</t>
        </is>
      </c>
      <c r="B21" s="16" t="inlineStr">
        <is>
          <t>PO-128-19710517919351909</t>
        </is>
      </c>
      <c r="C21" s="16" t="inlineStr">
        <is>
          <t>Delivered</t>
        </is>
      </c>
      <c r="D21" s="16" t="inlineStr">
        <is>
          <t>128-19710528405111909</t>
        </is>
      </c>
      <c r="E21" s="16" t="inlineStr">
        <is>
          <t>Delivered</t>
        </is>
      </c>
      <c r="F21" s="16" t="inlineStr">
        <is>
          <t>A500-A</t>
        </is>
      </c>
      <c r="G21" s="16" t="inlineStr">
        <is>
          <t>Bocina Bluetooth Portátil Barra de Sonido, Inalámbrica con FM Radio, TWS, USB/TF, Graves Potentes para Hogar y Exteriores</t>
        </is>
      </c>
      <c r="H21" s="16" t="inlineStr">
        <is>
          <t>AZUL</t>
        </is>
      </c>
      <c r="I21" s="16" t="n">
        <v>1</v>
      </c>
      <c r="J21" s="17" t="n">
        <v>78.88</v>
      </c>
      <c r="K21" s="17" t="n">
        <v>93.03</v>
      </c>
      <c r="L21" s="17" t="n">
        <v>25.86</v>
      </c>
      <c r="M21" s="17" t="n">
        <v>0</v>
      </c>
      <c r="N21" s="17">
        <f>K21*0.08+L21*0.08</f>
        <v/>
      </c>
      <c r="O21" s="17">
        <f>-(K21*0.025+L21*0.025)</f>
        <v/>
      </c>
      <c r="P21" s="17">
        <f>32</f>
        <v/>
      </c>
      <c r="Q21" s="17">
        <f>J21+L21+N21+O21-P21-M21</f>
        <v/>
      </c>
    </row>
    <row r="22">
      <c r="A22" s="16" t="inlineStr">
        <is>
          <t>5.1-5.7</t>
        </is>
      </c>
      <c r="B22" s="16" t="inlineStr">
        <is>
          <t>PO-128-19303843318393309</t>
        </is>
      </c>
      <c r="C22" s="16" t="inlineStr">
        <is>
          <t>Delivered</t>
        </is>
      </c>
      <c r="D22" s="16" t="inlineStr">
        <is>
          <t>128-19303801375353309</t>
        </is>
      </c>
      <c r="E22" s="16" t="inlineStr">
        <is>
          <t>Delivered</t>
        </is>
      </c>
      <c r="F22" s="16" t="inlineStr">
        <is>
          <t>A500-A</t>
        </is>
      </c>
      <c r="G22" s="16" t="inlineStr">
        <is>
          <t>Bocina Bluetooth Portátil Barra de Sonido, Inalámbrica con FM Radio, TWS, USB/TF, Graves Potentes para Hogar y Exteriores</t>
        </is>
      </c>
      <c r="H22" s="16" t="inlineStr">
        <is>
          <t>AZUL</t>
        </is>
      </c>
      <c r="I22" s="16" t="n">
        <v>1</v>
      </c>
      <c r="J22" s="17" t="n">
        <v>78.88</v>
      </c>
      <c r="K22" s="17" t="n">
        <v>49.93</v>
      </c>
      <c r="L22" s="17" t="n">
        <v>25.86</v>
      </c>
      <c r="M22" s="17" t="n">
        <v>0</v>
      </c>
      <c r="N22" s="17">
        <f>K22*0.08+L22*0.08</f>
        <v/>
      </c>
      <c r="O22" s="17">
        <f>-(K22*0.025+L22*0.025)</f>
        <v/>
      </c>
      <c r="P22" s="17">
        <f>32</f>
        <v/>
      </c>
      <c r="Q22" s="17">
        <f>J22+L22+N22+O22-P22-M22</f>
        <v/>
      </c>
    </row>
    <row r="23">
      <c r="A23" s="16" t="inlineStr">
        <is>
          <t>5.1-5.7</t>
        </is>
      </c>
      <c r="B23" s="16" t="inlineStr">
        <is>
          <t>PO-128-19296448215673289</t>
        </is>
      </c>
      <c r="C23" s="16" t="inlineStr">
        <is>
          <t>Delivered</t>
        </is>
      </c>
      <c r="D23" s="16" t="inlineStr">
        <is>
          <t>128-19296432487033289</t>
        </is>
      </c>
      <c r="E23" s="16" t="inlineStr">
        <is>
          <t>Delivered</t>
        </is>
      </c>
      <c r="F23" s="16" t="inlineStr">
        <is>
          <t>F025</t>
        </is>
      </c>
      <c r="G23" s="16" t="inlineStr">
        <is>
          <t>Sopladora Turbo Inalámbrica 130000 RPM - Aire Comprimido Eléctrico con Batería 8400mAh, Carga Rápida 2.5H, Ajuste Infinito de Velocidad, Kit Limpieza Multiuso para PC, Coche, Hogar y Exteriores</t>
        </is>
      </c>
      <c r="H23" s="16" t="inlineStr">
        <is>
          <t>Unidad Individual/1Pieza</t>
        </is>
      </c>
      <c r="I23" s="16" t="n">
        <v>1</v>
      </c>
      <c r="J23" s="17" t="n">
        <v>152</v>
      </c>
      <c r="K23" s="17" t="n">
        <v>201.12</v>
      </c>
      <c r="L23" s="17" t="n">
        <v>25.86</v>
      </c>
      <c r="M23" s="17" t="n">
        <v>0</v>
      </c>
      <c r="N23" s="17">
        <f>K23*0.08+L23*0.08</f>
        <v/>
      </c>
      <c r="O23" s="17">
        <f>-(K23*0.025+L23*0.025)</f>
        <v/>
      </c>
      <c r="P23" s="17">
        <f>32</f>
        <v/>
      </c>
      <c r="Q23" s="17">
        <f>J23+L23+N23+O23-P23-M23</f>
        <v/>
      </c>
    </row>
    <row r="24">
      <c r="A24" s="16" t="inlineStr">
        <is>
          <t>5.1-5.7</t>
        </is>
      </c>
      <c r="B24" s="16" t="inlineStr">
        <is>
          <t>PO-128-19707163679351865</t>
        </is>
      </c>
      <c r="C24" s="16" t="inlineStr">
        <is>
          <t>Delivered</t>
        </is>
      </c>
      <c r="D24" s="16" t="inlineStr">
        <is>
          <t>128-19707121736311865</t>
        </is>
      </c>
      <c r="E24" s="16" t="inlineStr">
        <is>
          <t>Delivered</t>
        </is>
      </c>
      <c r="F24" s="16" t="inlineStr">
        <is>
          <t>MB-185N</t>
        </is>
      </c>
      <c r="G24" s="16" t="inlineStr">
        <is>
          <t>Bocina Radio FM/Reproductor, Compatible con Tarjeta TF, USB, Bluetooth, Aplicable para celular, computadora, Ipad y consola</t>
        </is>
      </c>
      <c r="H24" s="16" t="inlineStr">
        <is>
          <t>NEGRO/MB-185</t>
        </is>
      </c>
      <c r="I24" s="16" t="n">
        <v>1</v>
      </c>
      <c r="J24" s="17" t="n">
        <v>85</v>
      </c>
      <c r="K24" s="17" t="n">
        <v>15.2</v>
      </c>
      <c r="L24" s="17" t="n">
        <v>25.86</v>
      </c>
      <c r="M24" s="17" t="n">
        <v>0</v>
      </c>
      <c r="N24" s="17">
        <f>K24*0.08+L24*0.08</f>
        <v/>
      </c>
      <c r="O24" s="17">
        <f>-(K24*0.025+L24*0.025)</f>
        <v/>
      </c>
      <c r="P24" s="17">
        <f>32</f>
        <v/>
      </c>
      <c r="Q24" s="17">
        <f>J24+L24+N24+O24-P24-M24</f>
        <v/>
      </c>
    </row>
    <row r="25">
      <c r="A25" s="16" t="inlineStr">
        <is>
          <t>5.1-5.7</t>
        </is>
      </c>
      <c r="B25" s="16" t="inlineStr">
        <is>
          <t>PO-128-19571606692472609</t>
        </is>
      </c>
      <c r="C25" s="16" t="inlineStr">
        <is>
          <t>Delivered</t>
        </is>
      </c>
      <c r="D25" s="16" t="inlineStr">
        <is>
          <t>128-19571564749432609</t>
        </is>
      </c>
      <c r="E25" s="16" t="inlineStr">
        <is>
          <t>Delivered</t>
        </is>
      </c>
      <c r="F25" s="16" t="inlineStr">
        <is>
          <t>A500-N</t>
        </is>
      </c>
      <c r="G25" s="16" t="inlineStr">
        <is>
          <t>Bocina Bluetooth Portátil Barra de Sonido, Inalámbrica con FM Radio, TWS, USB/TF, Graves Potentes para Hogar y Exteriores</t>
        </is>
      </c>
      <c r="H25" s="16" t="inlineStr">
        <is>
          <t>NEGRO</t>
        </is>
      </c>
      <c r="I25" s="16" t="n">
        <v>1</v>
      </c>
      <c r="J25" s="17" t="n">
        <v>81.95999999999999</v>
      </c>
      <c r="K25" s="17" t="n">
        <v>51.72</v>
      </c>
      <c r="L25" s="17" t="n">
        <v>25.86</v>
      </c>
      <c r="M25" s="17" t="n">
        <v>0</v>
      </c>
      <c r="N25" s="17">
        <f>K25*0.08+L25*0.08</f>
        <v/>
      </c>
      <c r="O25" s="17">
        <f>-(K25*0.025+L25*0.025)</f>
        <v/>
      </c>
      <c r="P25" s="17">
        <f>32</f>
        <v/>
      </c>
      <c r="Q25" s="17">
        <f>J25+L25+N25+O25-P25-M25</f>
        <v/>
      </c>
    </row>
    <row r="26">
      <c r="A26" s="16" t="inlineStr">
        <is>
          <t>5.1-5.7</t>
        </is>
      </c>
      <c r="B26" s="16" t="inlineStr">
        <is>
          <t>PO-128-08317525115513126</t>
        </is>
      </c>
      <c r="C26" s="16" t="inlineStr">
        <is>
          <t>Delivered</t>
        </is>
      </c>
      <c r="D26" s="16" t="inlineStr">
        <is>
          <t>128-08317567058553126</t>
        </is>
      </c>
      <c r="E26" s="16" t="inlineStr">
        <is>
          <t>Delivered</t>
        </is>
      </c>
      <c r="F26" s="16" t="inlineStr">
        <is>
          <t>MB-185N</t>
        </is>
      </c>
      <c r="G26" s="16" t="inlineStr">
        <is>
          <t>Bocina Radio FM/Reproductor, Compatible con Tarjeta TF, USB, Bluetooth, Aplicable para celular, computadora, Ipad y consola</t>
        </is>
      </c>
      <c r="H26" s="16" t="inlineStr">
        <is>
          <t>NEGRO/MB-185</t>
        </is>
      </c>
      <c r="I26" s="16" t="n">
        <v>1</v>
      </c>
      <c r="J26" s="17" t="n">
        <v>85</v>
      </c>
      <c r="K26" s="17" t="n">
        <v>46.24</v>
      </c>
      <c r="L26" s="17" t="n">
        <v>25.86</v>
      </c>
      <c r="M26" s="17" t="n">
        <v>0</v>
      </c>
      <c r="N26" s="17">
        <f>K26*0.08+L26*0.08</f>
        <v/>
      </c>
      <c r="O26" s="17">
        <f>-(K26*0.025+L26*0.025)</f>
        <v/>
      </c>
      <c r="P26" s="17">
        <f>32</f>
        <v/>
      </c>
      <c r="Q26" s="17">
        <f>J26+L26+N26+O26-P26-M26</f>
        <v/>
      </c>
    </row>
    <row r="27">
      <c r="A27" s="16" t="inlineStr">
        <is>
          <t>5.1-5.7</t>
        </is>
      </c>
      <c r="B27" s="16" t="inlineStr">
        <is>
          <t>PO-128-08251544361593457</t>
        </is>
      </c>
      <c r="C27" s="16" t="inlineStr">
        <is>
          <t>Delivered</t>
        </is>
      </c>
      <c r="D27" s="16" t="inlineStr">
        <is>
          <t>128-08251696405113457</t>
        </is>
      </c>
      <c r="E27" s="16" t="inlineStr">
        <is>
          <t>Delivered</t>
        </is>
      </c>
      <c r="F27" s="16" t="inlineStr">
        <is>
          <t>A500-A</t>
        </is>
      </c>
      <c r="G27" s="16" t="inlineStr">
        <is>
          <t>Bocina Bluetooth Portátil Barra de Sonido, Inalámbrica con FM Radio, TWS, USB/TF, Graves Potentes para Hogar y Exteriores</t>
        </is>
      </c>
      <c r="H27" s="16" t="inlineStr">
        <is>
          <t>AZUL</t>
        </is>
      </c>
      <c r="I27" s="16" t="n">
        <v>1</v>
      </c>
      <c r="J27" s="17" t="n">
        <v>78.88</v>
      </c>
      <c r="K27" s="17" t="n">
        <v>93.03</v>
      </c>
      <c r="L27" s="17" t="n">
        <v>25.86</v>
      </c>
      <c r="M27" s="17" t="n">
        <v>0</v>
      </c>
      <c r="N27" s="17">
        <f>K27*0.08+L27*0.08</f>
        <v/>
      </c>
      <c r="O27" s="17">
        <f>-(K27*0.025+L27*0.025)</f>
        <v/>
      </c>
      <c r="P27" s="17">
        <f>32</f>
        <v/>
      </c>
      <c r="Q27" s="17">
        <f>J27+L27+N27+O27-P27-M27</f>
        <v/>
      </c>
    </row>
    <row r="28">
      <c r="A28" s="16" t="inlineStr">
        <is>
          <t>5.1-5.7</t>
        </is>
      </c>
      <c r="B28" s="16" t="inlineStr">
        <is>
          <t>PO-128-08924251720310598</t>
        </is>
      </c>
      <c r="C28" s="16" t="inlineStr">
        <is>
          <t>Delivered</t>
        </is>
      </c>
      <c r="D28" s="16" t="inlineStr">
        <is>
          <t>128-08924272691830598</t>
        </is>
      </c>
      <c r="E28" s="16" t="inlineStr">
        <is>
          <t>Delivered</t>
        </is>
      </c>
      <c r="F28" s="16" t="inlineStr">
        <is>
          <t>A500-N</t>
        </is>
      </c>
      <c r="G28" s="16" t="inlineStr">
        <is>
          <t>Bocina Bluetooth Portátil Barra de Sonido, Inalámbrica con FM Radio, TWS, USB/TF, Graves Potentes para Hogar y Exteriores</t>
        </is>
      </c>
      <c r="H28" s="16" t="inlineStr">
        <is>
          <t>NEGRO</t>
        </is>
      </c>
      <c r="I28" s="16" t="n">
        <v>1</v>
      </c>
      <c r="J28" s="17" t="n">
        <v>81.95999999999999</v>
      </c>
      <c r="K28" s="17" t="n">
        <v>94.81999999999999</v>
      </c>
      <c r="L28" s="17" t="n">
        <v>25.86</v>
      </c>
      <c r="M28" s="17" t="n">
        <v>0</v>
      </c>
      <c r="N28" s="17">
        <f>K28*0.08+L28*0.08</f>
        <v/>
      </c>
      <c r="O28" s="17">
        <f>-(K28*0.025+L28*0.025)</f>
        <v/>
      </c>
      <c r="P28" s="17">
        <f>32</f>
        <v/>
      </c>
      <c r="Q28" s="17">
        <f>J28+L28+N28+O28-P28-M28</f>
        <v/>
      </c>
    </row>
    <row r="29">
      <c r="A29" s="16" t="inlineStr">
        <is>
          <t>5.1-5.7</t>
        </is>
      </c>
      <c r="B29" s="16" t="inlineStr">
        <is>
          <t>PO-128-08377589279353728</t>
        </is>
      </c>
      <c r="C29" s="16" t="inlineStr">
        <is>
          <t>Delivered</t>
        </is>
      </c>
      <c r="D29" s="16" t="inlineStr">
        <is>
          <t>128-08377557822073728</t>
        </is>
      </c>
      <c r="E29" s="16" t="inlineStr">
        <is>
          <t>Delivered</t>
        </is>
      </c>
      <c r="F29" s="16" t="inlineStr">
        <is>
          <t>F025</t>
        </is>
      </c>
      <c r="G29" s="16" t="inlineStr">
        <is>
          <t>Sopladora Turbo Inalámbrica 130000 RPM - Aire Comprimido Eléctrico con Batería 8400mAh, Carga Rápida 2.5H, Ajuste Infinito de Velocidad, Kit Limpieza Multiuso para PC, Coche, Hogar y Exteriores</t>
        </is>
      </c>
      <c r="H29" s="16" t="inlineStr">
        <is>
          <t>Unidad Individual/1Pieza</t>
        </is>
      </c>
      <c r="I29" s="16" t="n">
        <v>1</v>
      </c>
      <c r="J29" s="17" t="n">
        <v>152</v>
      </c>
      <c r="K29" s="17" t="n">
        <v>201.12</v>
      </c>
      <c r="L29" s="17" t="n">
        <v>25.86</v>
      </c>
      <c r="M29" s="17" t="n">
        <v>0</v>
      </c>
      <c r="N29" s="17">
        <f>K29*0.08+L29*0.08</f>
        <v/>
      </c>
      <c r="O29" s="17">
        <f>-(K29*0.025+L29*0.025)</f>
        <v/>
      </c>
      <c r="P29" s="17">
        <f>32</f>
        <v/>
      </c>
      <c r="Q29" s="17">
        <f>J29+L29+N29+O29-P29-M29</f>
        <v/>
      </c>
    </row>
    <row r="30">
      <c r="A30" s="16" t="inlineStr">
        <is>
          <t>5.1-5.7</t>
        </is>
      </c>
      <c r="B30" s="16" t="inlineStr">
        <is>
          <t>PO-128-08893937828470650</t>
        </is>
      </c>
      <c r="C30" s="16" t="inlineStr">
        <is>
          <t>Delivered</t>
        </is>
      </c>
      <c r="D30" s="16" t="inlineStr">
        <is>
          <t>128-08893958554230650</t>
        </is>
      </c>
      <c r="E30" s="16" t="inlineStr">
        <is>
          <t>Delivered</t>
        </is>
      </c>
      <c r="F30" s="16" t="inlineStr">
        <is>
          <t>A500-N</t>
        </is>
      </c>
      <c r="G30" s="16" t="inlineStr">
        <is>
          <t>Bocina Bluetooth Portátil Barra de Sonido, Inalámbrica con FM Radio, TWS, USB/TF, Graves Potentes para Hogar y Exteriores</t>
        </is>
      </c>
      <c r="H30" s="16" t="inlineStr">
        <is>
          <t>NEGRO</t>
        </is>
      </c>
      <c r="I30" s="16" t="n">
        <v>1</v>
      </c>
      <c r="J30" s="17" t="n">
        <v>81.95999999999999</v>
      </c>
      <c r="K30" s="17" t="n">
        <v>66.37</v>
      </c>
      <c r="L30" s="17" t="n">
        <v>25.86</v>
      </c>
      <c r="M30" s="17" t="n">
        <v>0</v>
      </c>
      <c r="N30" s="17">
        <f>K30*0.08+L30*0.08</f>
        <v/>
      </c>
      <c r="O30" s="17">
        <f>-(K30*0.025+L30*0.025)</f>
        <v/>
      </c>
      <c r="P30" s="17">
        <f>32</f>
        <v/>
      </c>
      <c r="Q30" s="17">
        <f>J30+L30+N30+O30-P30-M30</f>
        <v/>
      </c>
    </row>
    <row r="31">
      <c r="A31" s="16" t="inlineStr">
        <is>
          <t>5.1-5.7</t>
        </is>
      </c>
      <c r="B31" s="16" t="inlineStr">
        <is>
          <t>PO-128-08553204920952747</t>
        </is>
      </c>
      <c r="C31" s="16" t="inlineStr">
        <is>
          <t>Delivered</t>
        </is>
      </c>
      <c r="D31" s="16" t="inlineStr">
        <is>
          <t>128-08553257349752747</t>
        </is>
      </c>
      <c r="E31" s="16" t="inlineStr">
        <is>
          <t>Delivered</t>
        </is>
      </c>
      <c r="F31" s="16" t="inlineStr">
        <is>
          <t>F025</t>
        </is>
      </c>
      <c r="G31" s="16" t="inlineStr">
        <is>
          <t>Sopladora Turbo Inalámbrica 130000 RPM - Aire Comprimido Eléctrico con Batería 8400mAh, Carga Rápida 2.5H, Ajuste Infinito de Velocidad, Kit Limpieza Multiuso para PC, Coche, Hogar y Exteriores</t>
        </is>
      </c>
      <c r="H31" s="16" t="inlineStr">
        <is>
          <t>Unidad Individual/1Pieza</t>
        </is>
      </c>
      <c r="I31" s="16" t="n">
        <v>4</v>
      </c>
      <c r="J31" s="17" t="n">
        <v>608</v>
      </c>
      <c r="K31" s="17" t="n">
        <v>587.3200000000001</v>
      </c>
      <c r="L31" s="17" t="n">
        <v>0</v>
      </c>
      <c r="M31" s="17" t="n">
        <v>0</v>
      </c>
      <c r="N31" s="17">
        <f>K31*0.08+L31*0.08</f>
        <v/>
      </c>
      <c r="O31" s="17">
        <f>-(K31*0.025+L31*0.025)</f>
        <v/>
      </c>
      <c r="P31" s="17">
        <f>32</f>
        <v/>
      </c>
      <c r="Q31" s="17">
        <f>J31+L31+N31+O31-P31-M31</f>
        <v/>
      </c>
    </row>
    <row r="32">
      <c r="A32" s="16" t="inlineStr">
        <is>
          <t>5.1-5.7</t>
        </is>
      </c>
      <c r="B32" s="16" t="inlineStr">
        <is>
          <t>PO-128-08281547950713407</t>
        </is>
      </c>
      <c r="C32" s="16" t="inlineStr">
        <is>
          <t>Delivered</t>
        </is>
      </c>
      <c r="D32" s="16" t="inlineStr">
        <is>
          <t>128-08281506007673407</t>
        </is>
      </c>
      <c r="E32" s="16" t="inlineStr">
        <is>
          <t>Delivered</t>
        </is>
      </c>
      <c r="F32" s="16" t="inlineStr">
        <is>
          <t>A500-A</t>
        </is>
      </c>
      <c r="G32" s="16" t="inlineStr">
        <is>
          <t>Bocina Bluetooth Portátil Barra de Sonido, Inalámbrica con FM Radio, TWS, USB/TF, Graves Potentes para Hogar y Exteriores</t>
        </is>
      </c>
      <c r="H32" s="16" t="inlineStr">
        <is>
          <t>AZUL</t>
        </is>
      </c>
      <c r="I32" s="16" t="n">
        <v>1</v>
      </c>
      <c r="J32" s="17" t="n">
        <v>78.88</v>
      </c>
      <c r="K32" s="17" t="n">
        <v>93.03</v>
      </c>
      <c r="L32" s="17" t="n">
        <v>25.86</v>
      </c>
      <c r="M32" s="17" t="n">
        <v>0</v>
      </c>
      <c r="N32" s="17">
        <f>K32*0.08+L32*0.08</f>
        <v/>
      </c>
      <c r="O32" s="17">
        <f>-(K32*0.025+L32*0.025)</f>
        <v/>
      </c>
      <c r="P32" s="17">
        <f>32</f>
        <v/>
      </c>
      <c r="Q32" s="17">
        <f>J32+L32+N32+O32-P32-M32</f>
        <v/>
      </c>
    </row>
    <row r="33">
      <c r="A33" s="16" t="inlineStr">
        <is>
          <t>5.1-5.7</t>
        </is>
      </c>
      <c r="B33" s="16" t="inlineStr">
        <is>
          <t>PO-128-14220302070391673</t>
        </is>
      </c>
      <c r="C33" s="16" t="inlineStr">
        <is>
          <t>Delivered</t>
        </is>
      </c>
      <c r="D33" s="16" t="inlineStr">
        <is>
          <t>128-14220354499191673</t>
        </is>
      </c>
      <c r="E33" s="16" t="inlineStr">
        <is>
          <t>Delivered</t>
        </is>
      </c>
      <c r="F33" s="16" t="inlineStr">
        <is>
          <t>MB-185N</t>
        </is>
      </c>
      <c r="G33" s="16" t="inlineStr">
        <is>
          <t>Bocina Radio FM/Reproductor, Compatible con Tarjeta TF, USB, Bluetooth, Aplicable para celular, computadora, Ipad y consola</t>
        </is>
      </c>
      <c r="H33" s="16" t="inlineStr">
        <is>
          <t>NEGRO/MB-185</t>
        </is>
      </c>
      <c r="I33" s="16" t="n">
        <v>1</v>
      </c>
      <c r="J33" s="17" t="n">
        <v>85</v>
      </c>
      <c r="K33" s="17" t="n">
        <v>97.95999999999999</v>
      </c>
      <c r="L33" s="17" t="n">
        <v>25.86</v>
      </c>
      <c r="M33" s="17" t="n">
        <v>0</v>
      </c>
      <c r="N33" s="17">
        <f>K33*0.08+L33*0.08</f>
        <v/>
      </c>
      <c r="O33" s="17">
        <f>-(K33*0.025+L33*0.025)</f>
        <v/>
      </c>
      <c r="P33" s="17">
        <f>32</f>
        <v/>
      </c>
      <c r="Q33" s="17">
        <f>J33+L33+N33+O33-P33-M33</f>
        <v/>
      </c>
    </row>
    <row r="34">
      <c r="A34" s="16" t="inlineStr">
        <is>
          <t>5.1-5.7</t>
        </is>
      </c>
      <c r="B34" s="16" t="inlineStr">
        <is>
          <t>PO-128-14012888361593037</t>
        </is>
      </c>
      <c r="C34" s="16" t="inlineStr">
        <is>
          <t>Delivered</t>
        </is>
      </c>
      <c r="D34" s="16" t="inlineStr">
        <is>
          <t>128-14012898847353037</t>
        </is>
      </c>
      <c r="E34" s="16" t="inlineStr">
        <is>
          <t>Delivered</t>
        </is>
      </c>
      <c r="F34" s="16" t="inlineStr">
        <is>
          <t>A500-R</t>
        </is>
      </c>
      <c r="G34" s="16" t="inlineStr">
        <is>
          <t>Bocina Bluetooth Portátil Barra de Sonido, Inalámbrica con FM Radio, TWS, USB/TF, Graves Potentes para Hogar y Exteriores</t>
        </is>
      </c>
      <c r="H34" s="16" t="inlineStr">
        <is>
          <t>ROIO</t>
        </is>
      </c>
      <c r="I34" s="16" t="n">
        <v>1</v>
      </c>
      <c r="J34" s="17" t="n">
        <v>80</v>
      </c>
      <c r="K34" s="17" t="n">
        <v>90.48999999999999</v>
      </c>
      <c r="L34" s="17" t="n">
        <v>0</v>
      </c>
      <c r="M34" s="17" t="n">
        <v>90.48999999999999</v>
      </c>
      <c r="N34" s="17">
        <f>K34*0.08+L34*0.08</f>
        <v/>
      </c>
      <c r="O34" s="17">
        <f>-(K34*0.025+L34*0.025)</f>
        <v/>
      </c>
      <c r="P34" s="17">
        <f>32</f>
        <v/>
      </c>
      <c r="Q34" s="17">
        <f>J34+L34+N34+O34-P34-M34</f>
        <v/>
      </c>
    </row>
    <row r="35">
      <c r="A35" s="16" t="inlineStr">
        <is>
          <t>5.1-5.7</t>
        </is>
      </c>
      <c r="B35" s="16" t="inlineStr">
        <is>
          <t>PO-128-14065694126712784</t>
        </is>
      </c>
      <c r="C35" s="16" t="inlineStr">
        <is>
          <t>Delivered</t>
        </is>
      </c>
      <c r="D35" s="16" t="inlineStr">
        <is>
          <t>128-14065697403512784</t>
        </is>
      </c>
      <c r="E35" s="16" t="inlineStr">
        <is>
          <t>Delivered</t>
        </is>
      </c>
      <c r="F35" s="16" t="inlineStr">
        <is>
          <t>A500-N</t>
        </is>
      </c>
      <c r="G35" s="16" t="inlineStr">
        <is>
          <t>Bocina Bluetooth Portátil Barra de Sonido, Inalámbrica con FM Radio, TWS, USB/TF, Graves Potentes para Hogar y Exteriores</t>
        </is>
      </c>
      <c r="H35" s="16" t="inlineStr">
        <is>
          <t>NEGRO</t>
        </is>
      </c>
      <c r="I35" s="16" t="n">
        <v>1</v>
      </c>
      <c r="J35" s="17" t="n">
        <v>81.95999999999999</v>
      </c>
      <c r="K35" s="17" t="n">
        <v>66.40000000000001</v>
      </c>
      <c r="L35" s="17" t="n">
        <v>25.86</v>
      </c>
      <c r="M35" s="17" t="n">
        <v>0</v>
      </c>
      <c r="N35" s="17">
        <f>K35*0.08+L35*0.08</f>
        <v/>
      </c>
      <c r="O35" s="17">
        <f>-(K35*0.025+L35*0.025)</f>
        <v/>
      </c>
      <c r="P35" s="17">
        <f>32</f>
        <v/>
      </c>
      <c r="Q35" s="17">
        <f>J35+L35+N35+O35-P35-M35</f>
        <v/>
      </c>
    </row>
    <row r="36">
      <c r="A36" s="16" t="inlineStr">
        <is>
          <t>5.1-5.7</t>
        </is>
      </c>
      <c r="B36" s="16" t="inlineStr">
        <is>
          <t>PO-128-14318249462390193</t>
        </is>
      </c>
      <c r="C36" s="16" t="inlineStr">
        <is>
          <t>Delivered</t>
        </is>
      </c>
      <c r="D36" s="16" t="inlineStr">
        <is>
          <t>128-14318228490870193</t>
        </is>
      </c>
      <c r="E36" s="16" t="inlineStr">
        <is>
          <t>Delivered</t>
        </is>
      </c>
      <c r="F36" s="16" t="inlineStr">
        <is>
          <t>SA320T-R</t>
        </is>
      </c>
      <c r="G36" s="16" t="inlineStr">
        <is>
          <t>Altavoz inalámbrico portátil con Luces RGB, Radio FM y Manija - 5h Duración, TWS, TF Card, Compacto y Recargable via USB，Perfecto para viajes, fiestas y gaming</t>
        </is>
      </c>
      <c r="H36" s="16" t="inlineStr">
        <is>
          <t>rojo</t>
        </is>
      </c>
      <c r="I36" s="16" t="n">
        <v>1</v>
      </c>
      <c r="J36" s="17" t="n">
        <v>65</v>
      </c>
      <c r="K36" s="17" t="n">
        <v>64.23999999999999</v>
      </c>
      <c r="L36" s="17" t="n">
        <v>25.86</v>
      </c>
      <c r="M36" s="17" t="n">
        <v>0</v>
      </c>
      <c r="N36" s="17">
        <f>K36*0.08+L36*0.08</f>
        <v/>
      </c>
      <c r="O36" s="17">
        <f>-(K36*0.025+L36*0.025)</f>
        <v/>
      </c>
      <c r="P36" s="17">
        <f>32</f>
        <v/>
      </c>
      <c r="Q36" s="17">
        <f>J36+L36+N36+O36-P36-M36</f>
        <v/>
      </c>
    </row>
    <row r="37">
      <c r="A37" s="16" t="inlineStr">
        <is>
          <t>5.1-5.7</t>
        </is>
      </c>
      <c r="B37" s="16" t="inlineStr">
        <is>
          <t>PO-128-14199046656631798</t>
        </is>
      </c>
      <c r="C37" s="16" t="inlineStr">
        <is>
          <t>Delivered</t>
        </is>
      </c>
      <c r="D37" s="16" t="inlineStr">
        <is>
          <t>128-14199004713591798</t>
        </is>
      </c>
      <c r="E37" s="16" t="inlineStr">
        <is>
          <t>Delivered</t>
        </is>
      </c>
      <c r="F37" s="16" t="inlineStr">
        <is>
          <t>A500-A</t>
        </is>
      </c>
      <c r="G37" s="16" t="inlineStr">
        <is>
          <t>Bocina Bluetooth Portátil Barra de Sonido, Inalámbrica con FM Radio, TWS, USB/TF, Graves Potentes para Hogar y Exteriores</t>
        </is>
      </c>
      <c r="H37" s="16" t="inlineStr">
        <is>
          <t>AZUL</t>
        </is>
      </c>
      <c r="I37" s="16" t="n">
        <v>1</v>
      </c>
      <c r="J37" s="17" t="n">
        <v>78.88</v>
      </c>
      <c r="K37" s="17" t="n">
        <v>89.37</v>
      </c>
      <c r="L37" s="17" t="n">
        <v>25.86</v>
      </c>
      <c r="M37" s="17" t="n">
        <v>0</v>
      </c>
      <c r="N37" s="17">
        <f>K37*0.08+L37*0.08</f>
        <v/>
      </c>
      <c r="O37" s="17">
        <f>-(K37*0.025+L37*0.025)</f>
        <v/>
      </c>
      <c r="P37" s="17">
        <f>32</f>
        <v/>
      </c>
      <c r="Q37" s="17">
        <f>J37+L37+N37+O37-P37-M37</f>
        <v/>
      </c>
    </row>
    <row r="38">
      <c r="A38" s="16" t="inlineStr">
        <is>
          <t>5.1-5.7</t>
        </is>
      </c>
      <c r="B38" s="16" t="inlineStr">
        <is>
          <t>PO-128-14344065495670103</t>
        </is>
      </c>
      <c r="C38" s="16" t="inlineStr">
        <is>
          <t>Delivered</t>
        </is>
      </c>
      <c r="D38" s="16" t="inlineStr">
        <is>
          <t>128-14344107438710103</t>
        </is>
      </c>
      <c r="E38" s="16" t="inlineStr">
        <is>
          <t>Delivered</t>
        </is>
      </c>
      <c r="F38" s="16" t="inlineStr">
        <is>
          <t>A500-A</t>
        </is>
      </c>
      <c r="G38" s="16" t="inlineStr">
        <is>
          <t>Bocina Bluetooth Portátil Barra de Sonido, Inalámbrica con FM Radio, TWS, USB/TF, Graves Potentes para Hogar y Exteriores</t>
        </is>
      </c>
      <c r="H38" s="16" t="inlineStr">
        <is>
          <t>AZUL</t>
        </is>
      </c>
      <c r="I38" s="16" t="n">
        <v>1</v>
      </c>
      <c r="J38" s="17" t="n">
        <v>78.88</v>
      </c>
      <c r="K38" s="17" t="n">
        <v>3.16</v>
      </c>
      <c r="L38" s="17" t="n">
        <v>25.86</v>
      </c>
      <c r="M38" s="17" t="n">
        <v>0</v>
      </c>
      <c r="N38" s="17">
        <f>K38*0.08+L38*0.08</f>
        <v/>
      </c>
      <c r="O38" s="17">
        <f>-(K38*0.025+L38*0.025)</f>
        <v/>
      </c>
      <c r="P38" s="17">
        <f>32</f>
        <v/>
      </c>
      <c r="Q38" s="17">
        <f>J38+L38+N38+O38-P38-M38</f>
        <v/>
      </c>
    </row>
    <row r="39">
      <c r="A39" s="16" t="inlineStr">
        <is>
          <t>5.1-5.7</t>
        </is>
      </c>
      <c r="B39" s="16" t="inlineStr">
        <is>
          <t>PO-128-14162314455671059</t>
        </is>
      </c>
      <c r="C39" s="16" t="inlineStr">
        <is>
          <t>Delivered</t>
        </is>
      </c>
      <c r="D39" s="16" t="inlineStr">
        <is>
          <t>128-14162303969911059</t>
        </is>
      </c>
      <c r="E39" s="16" t="inlineStr">
        <is>
          <t>Delivered</t>
        </is>
      </c>
      <c r="F39" s="16" t="inlineStr">
        <is>
          <t>F025ACC</t>
        </is>
      </c>
      <c r="G39" s="16" t="inlineStr">
        <is>
          <t>Sopladora Turbo Inalámbrica 130000 RPM - Aire Comprimido Eléctrico con Batería 8400mAh, Carga Rápida 2.5H, Ajuste Infinito de Velocidad, Kit Limpieza Multiuso para PC, Coche, Hogar y Exteriores</t>
        </is>
      </c>
      <c r="H39" s="16" t="inlineStr">
        <is>
          <t>Kit Completo/1Pieza</t>
        </is>
      </c>
      <c r="I39" s="16" t="n">
        <v>1</v>
      </c>
      <c r="J39" s="17" t="n">
        <v>165</v>
      </c>
      <c r="K39" s="17" t="n">
        <v>207.6</v>
      </c>
      <c r="L39" s="17" t="n">
        <v>25.86</v>
      </c>
      <c r="M39" s="17" t="n">
        <v>0</v>
      </c>
      <c r="N39" s="17">
        <f>K39*0.08+L39*0.08</f>
        <v/>
      </c>
      <c r="O39" s="17">
        <f>-(K39*0.025+L39*0.025)</f>
        <v/>
      </c>
      <c r="P39" s="17">
        <f>32</f>
        <v/>
      </c>
      <c r="Q39" s="17">
        <f>J39+L39+N39+O39-P39-M39</f>
        <v/>
      </c>
    </row>
    <row r="40">
      <c r="A40" s="16" t="inlineStr">
        <is>
          <t>5.1-5.7</t>
        </is>
      </c>
      <c r="B40" s="16" t="inlineStr">
        <is>
          <t>PO-128-13802738002553264</t>
        </is>
      </c>
      <c r="C40" s="16" t="inlineStr">
        <is>
          <t>Delivered</t>
        </is>
      </c>
      <c r="D40" s="16" t="inlineStr">
        <is>
          <t>128-13802758974073264</t>
        </is>
      </c>
      <c r="E40" s="16" t="inlineStr">
        <is>
          <t>Delivered</t>
        </is>
      </c>
      <c r="F40" s="16" t="inlineStr">
        <is>
          <t>MB-185A</t>
        </is>
      </c>
      <c r="G40" s="16" t="inlineStr">
        <is>
          <t>Bocina Radio FM/Reproductor, Compatible con Tarjeta TF, USB, Bluetooth, Aplicable para celular, computadora, Ipad y consola</t>
        </is>
      </c>
      <c r="H40" s="16" t="inlineStr">
        <is>
          <t>AZUL/MB-185</t>
        </is>
      </c>
      <c r="I40" s="16" t="n">
        <v>1</v>
      </c>
      <c r="J40" s="17" t="n">
        <v>66</v>
      </c>
      <c r="K40" s="17" t="n">
        <v>63.16</v>
      </c>
      <c r="L40" s="17" t="n">
        <v>25.86</v>
      </c>
      <c r="M40" s="17" t="n">
        <v>0</v>
      </c>
      <c r="N40" s="17">
        <f>K40*0.08+L40*0.08</f>
        <v/>
      </c>
      <c r="O40" s="17">
        <f>-(K40*0.025+L40*0.025)</f>
        <v/>
      </c>
      <c r="P40" s="17">
        <f>32</f>
        <v/>
      </c>
      <c r="Q40" s="17">
        <f>J40+L40+N40+O40-P40-M40</f>
        <v/>
      </c>
    </row>
    <row r="41">
      <c r="A41" s="16" t="inlineStr">
        <is>
          <t>5.1-5.7</t>
        </is>
      </c>
      <c r="B41" s="16" t="inlineStr">
        <is>
          <t>PO-128-14174503649911944</t>
        </is>
      </c>
      <c r="C41" s="16" t="inlineStr">
        <is>
          <t>Delivered</t>
        </is>
      </c>
      <c r="D41" s="16" t="inlineStr">
        <is>
          <t>128-14174461461111944</t>
        </is>
      </c>
      <c r="E41" s="16" t="inlineStr">
        <is>
          <t>Delivered</t>
        </is>
      </c>
      <c r="F41" s="16" t="inlineStr">
        <is>
          <t>MB-185N</t>
        </is>
      </c>
      <c r="G41" s="16" t="inlineStr">
        <is>
          <t>Bocina Radio FM/Reproductor, Compatible con Tarjeta TF, USB, Bluetooth, Aplicable para celular, computadora, Ipad y consola</t>
        </is>
      </c>
      <c r="H41" s="16" t="inlineStr">
        <is>
          <t>NEGRO/MB-185</t>
        </is>
      </c>
      <c r="I41" s="16" t="n">
        <v>1</v>
      </c>
      <c r="J41" s="17" t="n">
        <v>66</v>
      </c>
      <c r="K41" s="17" t="n">
        <v>52.7</v>
      </c>
      <c r="L41" s="17" t="n">
        <v>0</v>
      </c>
      <c r="M41" s="17" t="n">
        <v>0</v>
      </c>
      <c r="N41" s="17">
        <f>K41*0.08+L41*0.08</f>
        <v/>
      </c>
      <c r="O41" s="17">
        <f>-(K41*0.025+L41*0.025)</f>
        <v/>
      </c>
      <c r="P41" s="17">
        <f>32</f>
        <v/>
      </c>
      <c r="Q41" s="17">
        <f>J41+L41+N41+O41-P41-M41</f>
        <v/>
      </c>
    </row>
    <row r="42">
      <c r="A42" s="16" t="inlineStr">
        <is>
          <t>5.1-5.7</t>
        </is>
      </c>
      <c r="B42" s="16" t="inlineStr">
        <is>
          <t>PO-128-14174503649911944</t>
        </is>
      </c>
      <c r="C42" s="16" t="inlineStr">
        <is>
          <t>Delivered</t>
        </is>
      </c>
      <c r="D42" s="16" t="inlineStr">
        <is>
          <t>128-14174471946871944</t>
        </is>
      </c>
      <c r="E42" s="16" t="inlineStr">
        <is>
          <t>Delivered</t>
        </is>
      </c>
      <c r="F42" s="16" t="inlineStr">
        <is>
          <t>MB-185R</t>
        </is>
      </c>
      <c r="G42" s="16" t="inlineStr">
        <is>
          <t>Bocina Radio FM/Reproductor, Compatible con Tarjeta TF, USB, Bluetooth, Aplicable para celular, computadora, Ipad y consola</t>
        </is>
      </c>
      <c r="H42" s="16" t="inlineStr">
        <is>
          <t>ROJO/MB-185</t>
        </is>
      </c>
      <c r="I42" s="16" t="n">
        <v>1</v>
      </c>
      <c r="J42" s="17" t="n">
        <v>66</v>
      </c>
      <c r="K42" s="17" t="n">
        <v>52.71</v>
      </c>
      <c r="L42" s="17" t="n">
        <v>0</v>
      </c>
      <c r="M42" s="17" t="n">
        <v>0</v>
      </c>
      <c r="N42" s="17">
        <f>K42*0.08+L42*0.08</f>
        <v/>
      </c>
      <c r="O42" s="17">
        <f>-(K42*0.025+L42*0.025)</f>
        <v/>
      </c>
      <c r="P42" s="17">
        <f>32</f>
        <v/>
      </c>
      <c r="Q42" s="17">
        <f>J42+L42+N42+O42-P42-M42</f>
        <v/>
      </c>
    </row>
    <row r="43">
      <c r="A43" s="16" t="inlineStr">
        <is>
          <t>5.1-5.7</t>
        </is>
      </c>
      <c r="B43" s="16" t="inlineStr">
        <is>
          <t>PO-128-14174503649911944</t>
        </is>
      </c>
      <c r="C43" s="16" t="inlineStr">
        <is>
          <t>Delivered</t>
        </is>
      </c>
      <c r="D43" s="16" t="inlineStr">
        <is>
          <t>128-14174456218231944</t>
        </is>
      </c>
      <c r="E43" s="16" t="inlineStr">
        <is>
          <t>Delivered</t>
        </is>
      </c>
      <c r="F43" s="16" t="inlineStr">
        <is>
          <t>F025</t>
        </is>
      </c>
      <c r="G43" s="16" t="inlineStr">
        <is>
          <t>Sopladora Turbo Inalámbrica 130000 RPM - Aire Comprimido Eléctrico con Batería 8400mAh, Carga Rápida 2.5H, Ajuste Infinito de Velocidad, Kit Limpieza Multiuso para PC, Coche, Hogar y Exteriores</t>
        </is>
      </c>
      <c r="H43" s="16" t="inlineStr">
        <is>
          <t>Unidad Individual/1Pieza</t>
        </is>
      </c>
      <c r="I43" s="16" t="n">
        <v>2</v>
      </c>
      <c r="J43" s="17" t="n">
        <v>290</v>
      </c>
      <c r="K43" s="17" t="n">
        <v>229.5</v>
      </c>
      <c r="L43" s="17" t="n">
        <v>0</v>
      </c>
      <c r="M43" s="17" t="n">
        <v>0</v>
      </c>
      <c r="N43" s="17">
        <f>K43*0.08+L43*0.08</f>
        <v/>
      </c>
      <c r="O43" s="17">
        <f>-(K43*0.025+L43*0.025)</f>
        <v/>
      </c>
      <c r="P43" s="17">
        <f>32</f>
        <v/>
      </c>
      <c r="Q43" s="17">
        <f>J43+L43+N43+O43-P43-M43</f>
        <v/>
      </c>
    </row>
    <row r="44">
      <c r="A44" s="16" t="inlineStr">
        <is>
          <t>5.1-5.7</t>
        </is>
      </c>
      <c r="B44" s="16" t="inlineStr">
        <is>
          <t>PO-128-14084610314872672</t>
        </is>
      </c>
      <c r="C44" s="16" t="inlineStr">
        <is>
          <t>Delivered</t>
        </is>
      </c>
      <c r="D44" s="16" t="inlineStr">
        <is>
          <t>128-14084568371832672</t>
        </is>
      </c>
      <c r="E44" s="16" t="inlineStr">
        <is>
          <t>Delivered</t>
        </is>
      </c>
      <c r="F44" s="16" t="inlineStr">
        <is>
          <t>A500-N</t>
        </is>
      </c>
      <c r="G44" s="16" t="inlineStr">
        <is>
          <t>Bocina Bluetooth Portátil Barra de Sonido, Inalámbrica con FM Radio, TWS, USB/TF, Graves Potentes para Hogar y Exteriores</t>
        </is>
      </c>
      <c r="H44" s="16" t="inlineStr">
        <is>
          <t>NEGRO</t>
        </is>
      </c>
      <c r="I44" s="16" t="n">
        <v>1</v>
      </c>
      <c r="J44" s="17" t="n">
        <v>79.5</v>
      </c>
      <c r="K44" s="17" t="n">
        <v>92.36</v>
      </c>
      <c r="L44" s="17" t="n">
        <v>25.86</v>
      </c>
      <c r="M44" s="17" t="n">
        <v>0</v>
      </c>
      <c r="N44" s="17">
        <f>K44*0.08+L44*0.08</f>
        <v/>
      </c>
      <c r="O44" s="17">
        <f>-(K44*0.025+L44*0.025)</f>
        <v/>
      </c>
      <c r="P44" s="17">
        <f>32</f>
        <v/>
      </c>
      <c r="Q44" s="17">
        <f>J44+L44+N44+O44-P44-M44</f>
        <v/>
      </c>
    </row>
    <row r="45">
      <c r="A45" s="16" t="inlineStr">
        <is>
          <t>5.1-5.7</t>
        </is>
      </c>
      <c r="B45" s="16" t="inlineStr">
        <is>
          <t>PO-128-02961005609592414</t>
        </is>
      </c>
      <c r="C45" s="16" t="inlineStr">
        <is>
          <t>Delivered</t>
        </is>
      </c>
      <c r="D45" s="16" t="inlineStr">
        <is>
          <t>128-02960963666552414</t>
        </is>
      </c>
      <c r="E45" s="16" t="inlineStr">
        <is>
          <t>Delivered</t>
        </is>
      </c>
      <c r="F45" s="16" t="inlineStr">
        <is>
          <t>SA320T-Y</t>
        </is>
      </c>
      <c r="G45" s="16" t="inlineStr">
        <is>
          <t>Altavoz inalámbrico portátil con Luces RGB, Radio FM y Manija - 5h Duración, TWS, TF Card, Compacto y Recargable via USB，Perfecto para viajes, fiestas y gaming</t>
        </is>
      </c>
      <c r="H45" s="16" t="inlineStr">
        <is>
          <t>amarillo</t>
        </is>
      </c>
      <c r="I45" s="16" t="n">
        <v>1</v>
      </c>
      <c r="J45" s="17" t="n">
        <v>51</v>
      </c>
      <c r="K45" s="17" t="n">
        <v>0.84</v>
      </c>
      <c r="L45" s="17" t="n">
        <v>25.86</v>
      </c>
      <c r="M45" s="17" t="n">
        <v>0</v>
      </c>
      <c r="N45" s="17">
        <f>K45*0.08+L45*0.08</f>
        <v/>
      </c>
      <c r="O45" s="17">
        <f>-(K45*0.025+L45*0.025)</f>
        <v/>
      </c>
      <c r="P45" s="17">
        <f>32</f>
        <v/>
      </c>
      <c r="Q45" s="17">
        <f>J45+L45+N45+O45-P45-M45</f>
        <v/>
      </c>
    </row>
    <row r="46">
      <c r="A46" s="16" t="inlineStr">
        <is>
          <t>5.1-5.7</t>
        </is>
      </c>
      <c r="B46" s="16" t="inlineStr">
        <is>
          <t>PO-128-03413641370230740</t>
        </is>
      </c>
      <c r="C46" s="16" t="inlineStr">
        <is>
          <t>Delivered</t>
        </is>
      </c>
      <c r="D46" s="16" t="inlineStr">
        <is>
          <t>128-03413599427190740</t>
        </is>
      </c>
      <c r="E46" s="16" t="inlineStr">
        <is>
          <t>Delivered</t>
        </is>
      </c>
      <c r="F46" s="16" t="inlineStr">
        <is>
          <t>A500-A</t>
        </is>
      </c>
      <c r="G46" s="16" t="inlineStr">
        <is>
          <t>Bocina Bluetooth Portátil Barra de Sonido, Inalámbrica con FM Radio, TWS, USB/TF, Graves Potentes para Hogar y Exteriores</t>
        </is>
      </c>
      <c r="H46" s="16" t="inlineStr">
        <is>
          <t>AZUL</t>
        </is>
      </c>
      <c r="I46" s="16" t="n">
        <v>1</v>
      </c>
      <c r="J46" s="17" t="n">
        <v>75</v>
      </c>
      <c r="K46" s="17" t="n">
        <v>85.48999999999999</v>
      </c>
      <c r="L46" s="17" t="n">
        <v>25.86</v>
      </c>
      <c r="M46" s="17" t="n">
        <v>0</v>
      </c>
      <c r="N46" s="17">
        <f>K46*0.08+L46*0.08</f>
        <v/>
      </c>
      <c r="O46" s="17">
        <f>-(K46*0.025+L46*0.025)</f>
        <v/>
      </c>
      <c r="P46" s="17">
        <f>32</f>
        <v/>
      </c>
      <c r="Q46" s="17">
        <f>J46+L46+N46+O46-P46-M46</f>
        <v/>
      </c>
    </row>
    <row r="47">
      <c r="A47" s="16" t="inlineStr">
        <is>
          <t>5.1-5.7</t>
        </is>
      </c>
      <c r="B47" s="16" t="inlineStr">
        <is>
          <t>PO-128-03349570366070098</t>
        </is>
      </c>
      <c r="C47" s="16" t="inlineStr">
        <is>
          <t>Delivered</t>
        </is>
      </c>
      <c r="D47" s="16" t="inlineStr">
        <is>
          <t>128-03349549394550098</t>
        </is>
      </c>
      <c r="E47" s="16" t="inlineStr">
        <is>
          <t>Delivered</t>
        </is>
      </c>
      <c r="F47" s="16" t="inlineStr">
        <is>
          <t>MB-185N</t>
        </is>
      </c>
      <c r="G47" s="16" t="inlineStr">
        <is>
          <t>Bocina Radio FM/Reproductor, Compatible con Tarjeta TF, USB, Bluetooth, Aplicable para celular, computadora, Ipad y consola</t>
        </is>
      </c>
      <c r="H47" s="16" t="inlineStr">
        <is>
          <t>NEGRO/MB-185</t>
        </is>
      </c>
      <c r="I47" s="16" t="n">
        <v>1</v>
      </c>
      <c r="J47" s="17" t="n">
        <v>66</v>
      </c>
      <c r="K47" s="17" t="n">
        <v>78.95999999999999</v>
      </c>
      <c r="L47" s="17" t="n">
        <v>25.86</v>
      </c>
      <c r="M47" s="17" t="n">
        <v>0</v>
      </c>
      <c r="N47" s="17">
        <f>K47*0.08+L47*0.08</f>
        <v/>
      </c>
      <c r="O47" s="17">
        <f>-(K47*0.025+L47*0.025)</f>
        <v/>
      </c>
      <c r="P47" s="17">
        <f>32</f>
        <v/>
      </c>
      <c r="Q47" s="17">
        <f>J47+L47+N47+O47-P47-M47</f>
        <v/>
      </c>
    </row>
    <row r="48">
      <c r="A48" s="16" t="inlineStr">
        <is>
          <t>5.1-5.7</t>
        </is>
      </c>
      <c r="B48" s="16" t="inlineStr">
        <is>
          <t>PO-128-03302923233910376</t>
        </is>
      </c>
      <c r="C48" s="16" t="inlineStr">
        <is>
          <t>Delivered</t>
        </is>
      </c>
      <c r="D48" s="16" t="inlineStr">
        <is>
          <t>128-03302912748150376</t>
        </is>
      </c>
      <c r="E48" s="16" t="inlineStr">
        <is>
          <t>Delivered</t>
        </is>
      </c>
      <c r="F48" s="16" t="inlineStr">
        <is>
          <t>MB-183N</t>
        </is>
      </c>
      <c r="G48" s="16" t="inlineStr">
        <is>
          <t>Linkbits Altavoz Bluetooth Portátil con Stereo Inalámbrico TWS Impermeable y a Prueba de Polvo IP65 Altavoz de Graves de Rango Completo de 52mm con Doble Unidad Ligero de 215g para Camping Senderismo y Fiestas al Aire Libre</t>
        </is>
      </c>
      <c r="H48" s="16" t="inlineStr">
        <is>
          <t>NEGRO/MB-183</t>
        </is>
      </c>
      <c r="I48" s="16" t="n">
        <v>1</v>
      </c>
      <c r="J48" s="17" t="n">
        <v>80</v>
      </c>
      <c r="K48" s="17" t="n">
        <v>97.39</v>
      </c>
      <c r="L48" s="17" t="n">
        <v>25.86</v>
      </c>
      <c r="M48" s="17" t="n">
        <v>0</v>
      </c>
      <c r="N48" s="17">
        <f>K48*0.08+L48*0.08</f>
        <v/>
      </c>
      <c r="O48" s="17">
        <f>-(K48*0.025+L48*0.025)</f>
        <v/>
      </c>
      <c r="P48" s="17">
        <f>32</f>
        <v/>
      </c>
      <c r="Q48" s="17">
        <f>J48+L48+N48+O48-P48-M48</f>
        <v/>
      </c>
    </row>
    <row r="49">
      <c r="A49" s="16" t="inlineStr">
        <is>
          <t>5.1-5.7</t>
        </is>
      </c>
      <c r="B49" s="16" t="inlineStr">
        <is>
          <t>PO-128-03117926216311286</t>
        </is>
      </c>
      <c r="C49" s="16" t="inlineStr">
        <is>
          <t>Delivered</t>
        </is>
      </c>
      <c r="D49" s="16" t="inlineStr">
        <is>
          <t>128-03117952430711286</t>
        </is>
      </c>
      <c r="E49" s="16" t="inlineStr">
        <is>
          <t>Delivered</t>
        </is>
      </c>
      <c r="F49" s="16" t="inlineStr">
        <is>
          <t>A500-N</t>
        </is>
      </c>
      <c r="G49" s="16" t="inlineStr">
        <is>
          <t>Bocina Bluetooth Portátil Barra de Sonido, Inalámbrica con FM Radio, TWS, USB/TF, Graves Potentes para Hogar y Exteriores</t>
        </is>
      </c>
      <c r="H49" s="16" t="inlineStr">
        <is>
          <t>NEGRO</t>
        </is>
      </c>
      <c r="I49" s="16" t="n">
        <v>1</v>
      </c>
      <c r="J49" s="17" t="n">
        <v>79.5</v>
      </c>
      <c r="K49" s="17" t="n">
        <v>92.36</v>
      </c>
      <c r="L49" s="17" t="n">
        <v>25.86</v>
      </c>
      <c r="M49" s="17" t="n">
        <v>0</v>
      </c>
      <c r="N49" s="17">
        <f>K49*0.08+L49*0.08</f>
        <v/>
      </c>
      <c r="O49" s="17">
        <f>-(K49*0.025+L49*0.025)</f>
        <v/>
      </c>
      <c r="P49" s="17">
        <f>32</f>
        <v/>
      </c>
      <c r="Q49" s="17">
        <f>J49+L49+N49+O49-P49-M49</f>
        <v/>
      </c>
    </row>
    <row r="50">
      <c r="A50" s="16" t="inlineStr">
        <is>
          <t>5.1-5.7</t>
        </is>
      </c>
      <c r="B50" s="16" t="inlineStr">
        <is>
          <t>PO-128-03317539031670160</t>
        </is>
      </c>
      <c r="C50" s="16" t="inlineStr">
        <is>
          <t>Delivered</t>
        </is>
      </c>
      <c r="D50" s="16" t="inlineStr">
        <is>
          <t>128-03317549517430160</t>
        </is>
      </c>
      <c r="E50" s="16" t="inlineStr">
        <is>
          <t>Delivered</t>
        </is>
      </c>
      <c r="F50" s="16" t="inlineStr">
        <is>
          <t>MB-185N</t>
        </is>
      </c>
      <c r="G50" s="16" t="inlineStr">
        <is>
          <t>Bocina Radio FM/Reproductor, Compatible con Tarjeta TF, USB, Bluetooth, Aplicable para celular, computadora, Ipad y consola</t>
        </is>
      </c>
      <c r="H50" s="16" t="inlineStr">
        <is>
          <t>NEGRO/MB-185</t>
        </is>
      </c>
      <c r="I50" s="16" t="n">
        <v>1</v>
      </c>
      <c r="J50" s="17" t="n">
        <v>66</v>
      </c>
      <c r="K50" s="17" t="n">
        <v>63.18</v>
      </c>
      <c r="L50" s="17" t="n">
        <v>25.86</v>
      </c>
      <c r="M50" s="17" t="n">
        <v>0</v>
      </c>
      <c r="N50" s="17">
        <f>K50*0.08+L50*0.08</f>
        <v/>
      </c>
      <c r="O50" s="17">
        <f>-(K50*0.025+L50*0.025)</f>
        <v/>
      </c>
      <c r="P50" s="17">
        <f>32</f>
        <v/>
      </c>
      <c r="Q50" s="17">
        <f>J50+L50+N50+O50-P50-M50</f>
        <v/>
      </c>
    </row>
    <row r="51">
      <c r="A51" s="16" t="inlineStr">
        <is>
          <t>5.1-5.7</t>
        </is>
      </c>
      <c r="B51" s="16" t="inlineStr">
        <is>
          <t>PO-128-03159524301431038</t>
        </is>
      </c>
      <c r="C51" s="16" t="inlineStr">
        <is>
          <t>Delivered</t>
        </is>
      </c>
      <c r="D51" s="16" t="inlineStr">
        <is>
          <t>128-03159513815671038</t>
        </is>
      </c>
      <c r="E51" s="16" t="inlineStr">
        <is>
          <t>Delivered</t>
        </is>
      </c>
      <c r="F51" s="16" t="inlineStr">
        <is>
          <t>A500-R</t>
        </is>
      </c>
      <c r="G51" s="16" t="inlineStr">
        <is>
          <t>Bocina Bluetooth Portátil Barra de Sonido, Inalámbrica con FM Radio, TWS, USB/TF, Graves Potentes para Hogar y Exteriores</t>
        </is>
      </c>
      <c r="H51" s="16" t="inlineStr">
        <is>
          <t>ROIO</t>
        </is>
      </c>
      <c r="I51" s="16" t="n">
        <v>1</v>
      </c>
      <c r="J51" s="17" t="n">
        <v>78</v>
      </c>
      <c r="K51" s="17" t="n">
        <v>88.48999999999999</v>
      </c>
      <c r="L51" s="17" t="n">
        <v>25.86</v>
      </c>
      <c r="M51" s="17" t="n">
        <v>0</v>
      </c>
      <c r="N51" s="17">
        <f>K51*0.08+L51*0.08</f>
        <v/>
      </c>
      <c r="O51" s="17">
        <f>-(K51*0.025+L51*0.025)</f>
        <v/>
      </c>
      <c r="P51" s="17">
        <f>32</f>
        <v/>
      </c>
      <c r="Q51" s="17">
        <f>J51+L51+N51+O51-P51-M51</f>
        <v/>
      </c>
    </row>
    <row r="52">
      <c r="A52" s="16" t="inlineStr">
        <is>
          <t>5.1-5.7</t>
        </is>
      </c>
      <c r="B52" s="16" t="inlineStr">
        <is>
          <t>PO-128-02942664284792333</t>
        </is>
      </c>
      <c r="C52" s="16" t="inlineStr">
        <is>
          <t>Delivered</t>
        </is>
      </c>
      <c r="D52" s="16" t="inlineStr">
        <is>
          <t>128-02942685256312333</t>
        </is>
      </c>
      <c r="E52" s="16" t="inlineStr">
        <is>
          <t>Delivered</t>
        </is>
      </c>
      <c r="F52" s="16" t="inlineStr">
        <is>
          <t>A500-N</t>
        </is>
      </c>
      <c r="G52" s="16" t="inlineStr">
        <is>
          <t>Bocina Bluetooth Portátil Barra de Sonido, Inalámbrica con FM Radio, TWS, USB/TF, Graves Potentes para Hogar y Exteriores</t>
        </is>
      </c>
      <c r="H52" s="16" t="inlineStr">
        <is>
          <t>NEGRO</t>
        </is>
      </c>
      <c r="I52" s="16" t="n">
        <v>1</v>
      </c>
      <c r="J52" s="17" t="n">
        <v>79.5</v>
      </c>
      <c r="K52" s="17" t="n">
        <v>14.77</v>
      </c>
      <c r="L52" s="17" t="n">
        <v>25.86</v>
      </c>
      <c r="M52" s="17" t="n">
        <v>0</v>
      </c>
      <c r="N52" s="17">
        <f>K52*0.08+L52*0.08</f>
        <v/>
      </c>
      <c r="O52" s="17">
        <f>-(K52*0.025+L52*0.025)</f>
        <v/>
      </c>
      <c r="P52" s="17">
        <f>32</f>
        <v/>
      </c>
      <c r="Q52" s="17">
        <f>J52+L52+N52+O52-P52-M52</f>
        <v/>
      </c>
    </row>
    <row r="53">
      <c r="A53" s="16" t="inlineStr">
        <is>
          <t>5.1-5.7</t>
        </is>
      </c>
      <c r="B53" s="16" t="inlineStr">
        <is>
          <t>PO-128-03250778829431582</t>
        </is>
      </c>
      <c r="C53" s="16" t="inlineStr">
        <is>
          <t>Delivered</t>
        </is>
      </c>
      <c r="D53" s="16" t="inlineStr">
        <is>
          <t>128-03250799800951582</t>
        </is>
      </c>
      <c r="E53" s="16" t="inlineStr">
        <is>
          <t>Delivered</t>
        </is>
      </c>
      <c r="F53" s="16" t="inlineStr">
        <is>
          <t>SA320T-N</t>
        </is>
      </c>
      <c r="G53" s="16" t="inlineStr">
        <is>
          <t>Altavoz inalámbrico portátil con Luces RGB, Radio FM y Manija - 5h Duración, TWS, TF Card, Compacto y Recargable via USB，Perfecto para viajes, fiestas y gaming</t>
        </is>
      </c>
      <c r="H53" s="16" t="inlineStr">
        <is>
          <t>negro</t>
        </is>
      </c>
      <c r="I53" s="16" t="n">
        <v>1</v>
      </c>
      <c r="J53" s="17" t="n">
        <v>61</v>
      </c>
      <c r="K53" s="17" t="n">
        <v>71.73</v>
      </c>
      <c r="L53" s="17" t="n">
        <v>25.86</v>
      </c>
      <c r="M53" s="17" t="n">
        <v>0</v>
      </c>
      <c r="N53" s="17">
        <f>K53*0.08+L53*0.08</f>
        <v/>
      </c>
      <c r="O53" s="17">
        <f>-(K53*0.025+L53*0.025)</f>
        <v/>
      </c>
      <c r="P53" s="17">
        <f>32</f>
        <v/>
      </c>
      <c r="Q53" s="17">
        <f>J53+L53+N53+O53-P53-M53</f>
        <v/>
      </c>
    </row>
    <row r="54">
      <c r="A54" s="16" t="inlineStr">
        <is>
          <t>5.1-5.7</t>
        </is>
      </c>
      <c r="B54" s="16" t="inlineStr">
        <is>
          <t>PO-128-02963836088952207</t>
        </is>
      </c>
      <c r="C54" s="16" t="inlineStr">
        <is>
          <t>Delivered</t>
        </is>
      </c>
      <c r="D54" s="16" t="inlineStr">
        <is>
          <t>128-02963794145912207</t>
        </is>
      </c>
      <c r="E54" s="16" t="inlineStr">
        <is>
          <t>Delivered</t>
        </is>
      </c>
      <c r="F54" s="16" t="inlineStr">
        <is>
          <t>A500-N</t>
        </is>
      </c>
      <c r="G54" s="16" t="inlineStr">
        <is>
          <t>Bocina Bluetooth Portátil Barra de Sonido, Inalámbrica con FM Radio, TWS, USB/TF, Graves Potentes para Hogar y Exteriores</t>
        </is>
      </c>
      <c r="H54" s="16" t="inlineStr">
        <is>
          <t>NEGRO</t>
        </is>
      </c>
      <c r="I54" s="16" t="n">
        <v>1</v>
      </c>
      <c r="J54" s="17" t="n">
        <v>79.5</v>
      </c>
      <c r="K54" s="17" t="n">
        <v>92.36</v>
      </c>
      <c r="L54" s="17" t="n">
        <v>25.86</v>
      </c>
      <c r="M54" s="17" t="n">
        <v>0</v>
      </c>
      <c r="N54" s="17">
        <f>K54*0.08+L54*0.08</f>
        <v/>
      </c>
      <c r="O54" s="17">
        <f>-(K54*0.025+L54*0.025)</f>
        <v/>
      </c>
      <c r="P54" s="17">
        <f>32</f>
        <v/>
      </c>
      <c r="Q54" s="17">
        <f>J54+L54+N54+O54-P54-M54</f>
        <v/>
      </c>
    </row>
    <row r="55">
      <c r="A55" s="16" t="inlineStr">
        <is>
          <t>5.1-5.7</t>
        </is>
      </c>
      <c r="B55" s="16" t="inlineStr">
        <is>
          <t>PO-128-03386704415350836</t>
        </is>
      </c>
      <c r="C55" s="16" t="inlineStr">
        <is>
          <t>Delivered</t>
        </is>
      </c>
      <c r="D55" s="16" t="inlineStr">
        <is>
          <t>128-03386662472310836</t>
        </is>
      </c>
      <c r="E55" s="16" t="inlineStr">
        <is>
          <t>Delivered</t>
        </is>
      </c>
      <c r="F55" s="16" t="inlineStr">
        <is>
          <t>A500-N</t>
        </is>
      </c>
      <c r="G55" s="16" t="inlineStr">
        <is>
          <t>Bocina Bluetooth Portátil Barra de Sonido, Inalámbrica con FM Radio, TWS, USB/TF, Graves Potentes para Hogar y Exteriores</t>
        </is>
      </c>
      <c r="H55" s="16" t="inlineStr">
        <is>
          <t>NEGRO</t>
        </is>
      </c>
      <c r="I55" s="16" t="n">
        <v>1</v>
      </c>
      <c r="J55" s="17" t="n">
        <v>79.5</v>
      </c>
      <c r="K55" s="17" t="n">
        <v>73.89</v>
      </c>
      <c r="L55" s="17" t="n">
        <v>25.86</v>
      </c>
      <c r="M55" s="17" t="n">
        <v>0</v>
      </c>
      <c r="N55" s="17">
        <f>K55*0.08+L55*0.08</f>
        <v/>
      </c>
      <c r="O55" s="17">
        <f>-(K55*0.025+L55*0.025)</f>
        <v/>
      </c>
      <c r="P55" s="17">
        <f>32</f>
        <v/>
      </c>
      <c r="Q55" s="17">
        <f>J55+L55+N55+O55-P55-M55</f>
        <v/>
      </c>
    </row>
    <row r="56">
      <c r="A56" s="16" t="inlineStr">
        <is>
          <t>5.1-5.7</t>
        </is>
      </c>
      <c r="B56" s="16" t="inlineStr">
        <is>
          <t>PO-128-03372871158390793</t>
        </is>
      </c>
      <c r="C56" s="16" t="inlineStr">
        <is>
          <t>Delivered</t>
        </is>
      </c>
      <c r="D56" s="16" t="inlineStr">
        <is>
          <t>128-03372829215350793</t>
        </is>
      </c>
      <c r="E56" s="16" t="inlineStr">
        <is>
          <t>Delivered</t>
        </is>
      </c>
      <c r="F56" s="16" t="inlineStr">
        <is>
          <t>A500-A</t>
        </is>
      </c>
      <c r="G56" s="16" t="inlineStr">
        <is>
          <t>Bocina Bluetooth Portátil Barra de Sonido, Inalámbrica con FM Radio, TWS, USB/TF, Graves Potentes para Hogar y Exteriores</t>
        </is>
      </c>
      <c r="H56" s="16" t="inlineStr">
        <is>
          <t>AZUL</t>
        </is>
      </c>
      <c r="I56" s="16" t="n">
        <v>1</v>
      </c>
      <c r="J56" s="17" t="n">
        <v>75</v>
      </c>
      <c r="K56" s="17" t="n">
        <v>85.48999999999999</v>
      </c>
      <c r="L56" s="17" t="n">
        <v>25.86</v>
      </c>
      <c r="M56" s="17" t="n">
        <v>0</v>
      </c>
      <c r="N56" s="17">
        <f>K56*0.08+L56*0.08</f>
        <v/>
      </c>
      <c r="O56" s="17">
        <f>-(K56*0.025+L56*0.025)</f>
        <v/>
      </c>
      <c r="P56" s="17">
        <f>32</f>
        <v/>
      </c>
      <c r="Q56" s="17">
        <f>J56+L56+N56+O56-P56-M56</f>
        <v/>
      </c>
    </row>
    <row r="57">
      <c r="A57" s="16" t="inlineStr">
        <is>
          <t>5.1-5.7</t>
        </is>
      </c>
      <c r="B57" s="16" t="inlineStr">
        <is>
          <t>PO-128-03050037156472717</t>
        </is>
      </c>
      <c r="C57" s="16" t="inlineStr">
        <is>
          <t>Delivered</t>
        </is>
      </c>
      <c r="D57" s="16" t="inlineStr">
        <is>
          <t>128-03050058127992717</t>
        </is>
      </c>
      <c r="E57" s="16" t="inlineStr">
        <is>
          <t>Delivered</t>
        </is>
      </c>
      <c r="F57" s="16" t="inlineStr">
        <is>
          <t>SA320T-N</t>
        </is>
      </c>
      <c r="G57" s="16" t="inlineStr">
        <is>
          <t>Altavoz inalámbrico portátil con Luces RGB, Radio FM y Manija - 5h Duración, TWS, TF Card, Compacto y Recargable via USB，Perfecto para viajes, fiestas y gaming</t>
        </is>
      </c>
      <c r="H57" s="16" t="inlineStr">
        <is>
          <t>negro</t>
        </is>
      </c>
      <c r="I57" s="16" t="n">
        <v>1</v>
      </c>
      <c r="J57" s="17" t="n">
        <v>61</v>
      </c>
      <c r="K57" s="17" t="n">
        <v>71.73</v>
      </c>
      <c r="L57" s="17" t="n">
        <v>25.86</v>
      </c>
      <c r="M57" s="17" t="n">
        <v>0</v>
      </c>
      <c r="N57" s="17">
        <f>K57*0.08+L57*0.08</f>
        <v/>
      </c>
      <c r="O57" s="17">
        <f>-(K57*0.025+L57*0.025)</f>
        <v/>
      </c>
      <c r="P57" s="17">
        <f>32</f>
        <v/>
      </c>
      <c r="Q57" s="17">
        <f>J57+L57+N57+O57-P57-M57</f>
        <v/>
      </c>
    </row>
    <row r="58">
      <c r="A58" s="16" t="inlineStr">
        <is>
          <t>5.1-5.7</t>
        </is>
      </c>
      <c r="B58" s="16" t="inlineStr">
        <is>
          <t>PO-128-02820556718713125</t>
        </is>
      </c>
      <c r="C58" s="16" t="inlineStr">
        <is>
          <t>Delivered</t>
        </is>
      </c>
      <c r="D58" s="16" t="inlineStr">
        <is>
          <t>128-02820546232953125</t>
        </is>
      </c>
      <c r="E58" s="16" t="inlineStr">
        <is>
          <t>Delivered</t>
        </is>
      </c>
      <c r="F58" s="16" t="inlineStr">
        <is>
          <t>A500-N</t>
        </is>
      </c>
      <c r="G58" s="16" t="inlineStr">
        <is>
          <t>Bocina Bluetooth Portátil Barra de Sonido, Inalámbrica con FM Radio, TWS, USB/TF, Graves Potentes para Hogar y Exteriores</t>
        </is>
      </c>
      <c r="H58" s="16" t="inlineStr">
        <is>
          <t>NEGRO</t>
        </is>
      </c>
      <c r="I58" s="16" t="n">
        <v>9</v>
      </c>
      <c r="J58" s="17" t="n">
        <v>715.5</v>
      </c>
      <c r="K58" s="17" t="n">
        <v>787.23</v>
      </c>
      <c r="L58" s="17" t="n">
        <v>0</v>
      </c>
      <c r="M58" s="17" t="n">
        <v>0</v>
      </c>
      <c r="N58" s="17">
        <f>K58*0.08+L58*0.08</f>
        <v/>
      </c>
      <c r="O58" s="17">
        <f>-(K58*0.025+L58*0.025)</f>
        <v/>
      </c>
      <c r="P58" s="17">
        <f>32</f>
        <v/>
      </c>
      <c r="Q58" s="17">
        <f>J58+L58+N58+O58-P58-M58</f>
        <v/>
      </c>
    </row>
    <row r="59">
      <c r="A59" s="16" t="inlineStr">
        <is>
          <t>5.1-5.7</t>
        </is>
      </c>
      <c r="B59" s="16" t="inlineStr">
        <is>
          <t>PO-128-02820556718713125</t>
        </is>
      </c>
      <c r="C59" s="16" t="inlineStr">
        <is>
          <t>Delivered</t>
        </is>
      </c>
      <c r="D59" s="16" t="inlineStr">
        <is>
          <t>128-02820567204473125</t>
        </is>
      </c>
      <c r="E59" s="16" t="inlineStr">
        <is>
          <t>Delivered</t>
        </is>
      </c>
      <c r="F59" s="16" t="inlineStr">
        <is>
          <t>A500-R</t>
        </is>
      </c>
      <c r="G59" s="16" t="inlineStr">
        <is>
          <t>Bocina Bluetooth Portátil Barra de Sonido, Inalámbrica con FM Radio, TWS, USB/TF, Graves Potentes para Hogar y Exteriores</t>
        </is>
      </c>
      <c r="H59" s="16" t="inlineStr">
        <is>
          <t>ROIO</t>
        </is>
      </c>
      <c r="I59" s="16" t="n">
        <v>2</v>
      </c>
      <c r="J59" s="17" t="n">
        <v>156</v>
      </c>
      <c r="K59" s="17" t="n">
        <v>167.62</v>
      </c>
      <c r="L59" s="17" t="n">
        <v>0</v>
      </c>
      <c r="M59" s="17" t="n">
        <v>0</v>
      </c>
      <c r="N59" s="17">
        <f>K59*0.08+L59*0.08</f>
        <v/>
      </c>
      <c r="O59" s="17">
        <f>-(K59*0.025+L59*0.025)</f>
        <v/>
      </c>
      <c r="P59" s="17">
        <f>32</f>
        <v/>
      </c>
      <c r="Q59" s="17">
        <f>J59+L59+N59+O59-P59-M59</f>
        <v/>
      </c>
    </row>
    <row r="60">
      <c r="A60" s="16" t="inlineStr">
        <is>
          <t>5.1-5.7</t>
        </is>
      </c>
      <c r="B60" s="16" t="inlineStr">
        <is>
          <t>PO-128-02820556718713125</t>
        </is>
      </c>
      <c r="C60" s="16" t="inlineStr">
        <is>
          <t>Delivered</t>
        </is>
      </c>
      <c r="D60" s="16" t="inlineStr">
        <is>
          <t>128-02820525261433125</t>
        </is>
      </c>
      <c r="E60" s="16" t="inlineStr">
        <is>
          <t>Delivered</t>
        </is>
      </c>
      <c r="F60" s="16" t="inlineStr">
        <is>
          <t>A500-A</t>
        </is>
      </c>
      <c r="G60" s="16" t="inlineStr">
        <is>
          <t>Bocina Bluetooth Portátil Barra de Sonido, Inalámbrica con FM Radio, TWS, USB/TF, Graves Potentes para Hogar y Exteriores</t>
        </is>
      </c>
      <c r="H60" s="16" t="inlineStr">
        <is>
          <t>AZUL</t>
        </is>
      </c>
      <c r="I60" s="16" t="n">
        <v>2</v>
      </c>
      <c r="J60" s="17" t="n">
        <v>150</v>
      </c>
      <c r="K60" s="17" t="n">
        <v>161.92</v>
      </c>
      <c r="L60" s="17" t="n">
        <v>0</v>
      </c>
      <c r="M60" s="17" t="n">
        <v>0</v>
      </c>
      <c r="N60" s="17">
        <f>K60*0.08+L60*0.08</f>
        <v/>
      </c>
      <c r="O60" s="17">
        <f>-(K60*0.025+L60*0.025)</f>
        <v/>
      </c>
      <c r="P60" s="17">
        <f>32</f>
        <v/>
      </c>
      <c r="Q60" s="17">
        <f>J60+L60+N60+O60-P60-M60</f>
        <v/>
      </c>
    </row>
    <row r="61">
      <c r="A61" s="16" t="inlineStr">
        <is>
          <t>5.1-5.7</t>
        </is>
      </c>
      <c r="B61" s="16" t="inlineStr">
        <is>
          <t>PO-128-03014297365112992</t>
        </is>
      </c>
      <c r="C61" s="16" t="inlineStr">
        <is>
          <t>Delivered</t>
        </is>
      </c>
      <c r="D61" s="16" t="inlineStr">
        <is>
          <t>128-03014349793912992</t>
        </is>
      </c>
      <c r="E61" s="16" t="inlineStr">
        <is>
          <t>Delivered</t>
        </is>
      </c>
      <c r="F61" s="16" t="inlineStr">
        <is>
          <t>A500-N</t>
        </is>
      </c>
      <c r="G61" s="16" t="inlineStr">
        <is>
          <t>Bocina Bluetooth Portátil Barra de Sonido, Inalámbrica con FM Radio, TWS, USB/TF, Graves Potentes para Hogar y Exteriores</t>
        </is>
      </c>
      <c r="H61" s="16" t="inlineStr">
        <is>
          <t>NEGRO</t>
        </is>
      </c>
      <c r="I61" s="16" t="n">
        <v>1</v>
      </c>
      <c r="J61" s="17" t="n">
        <v>79.5</v>
      </c>
      <c r="K61" s="17" t="n">
        <v>49.26</v>
      </c>
      <c r="L61" s="17" t="n">
        <v>25.86</v>
      </c>
      <c r="M61" s="17" t="n">
        <v>0</v>
      </c>
      <c r="N61" s="17">
        <f>K61*0.08+L61*0.08</f>
        <v/>
      </c>
      <c r="O61" s="17">
        <f>-(K61*0.025+L61*0.025)</f>
        <v/>
      </c>
      <c r="P61" s="17">
        <f>32</f>
        <v/>
      </c>
      <c r="Q61" s="17">
        <f>J61+L61+N61+O61-P61-M61</f>
        <v/>
      </c>
    </row>
    <row r="62">
      <c r="A62" s="16" t="inlineStr">
        <is>
          <t>5.1-5.7</t>
        </is>
      </c>
      <c r="B62" s="16" t="inlineStr">
        <is>
          <t>PO-128-02765587384953578</t>
        </is>
      </c>
      <c r="C62" s="16" t="inlineStr">
        <is>
          <t>Delivered</t>
        </is>
      </c>
      <c r="D62" s="16" t="inlineStr">
        <is>
          <t>128-02765692242553578</t>
        </is>
      </c>
      <c r="E62" s="16" t="inlineStr">
        <is>
          <t>Delivered</t>
        </is>
      </c>
      <c r="F62" s="16" t="inlineStr">
        <is>
          <t>A500-N</t>
        </is>
      </c>
      <c r="G62" s="16" t="inlineStr">
        <is>
          <t>Bocina Bluetooth Portátil Barra de Sonido, Inalámbrica con FM Radio, TWS, USB/TF, Graves Potentes para Hogar y Exteriores</t>
        </is>
      </c>
      <c r="H62" s="16" t="inlineStr">
        <is>
          <t>NEGRO</t>
        </is>
      </c>
      <c r="I62" s="16" t="n">
        <v>1</v>
      </c>
      <c r="J62" s="17" t="n">
        <v>79.5</v>
      </c>
      <c r="K62" s="17" t="n">
        <v>6.15</v>
      </c>
      <c r="L62" s="17" t="n">
        <v>25.86</v>
      </c>
      <c r="M62" s="17" t="n">
        <v>0</v>
      </c>
      <c r="N62" s="17">
        <f>K62*0.08+L62*0.08</f>
        <v/>
      </c>
      <c r="O62" s="17">
        <f>-(K62*0.025+L62*0.025)</f>
        <v/>
      </c>
      <c r="P62" s="17">
        <f>32</f>
        <v/>
      </c>
      <c r="Q62" s="17">
        <f>J62+L62+N62+O62-P62-M62</f>
        <v/>
      </c>
    </row>
    <row r="63">
      <c r="A63" s="16" t="inlineStr">
        <is>
          <t>5.1-5.7</t>
        </is>
      </c>
      <c r="B63" s="16" t="inlineStr">
        <is>
          <t>PO-128-02809893868153314</t>
        </is>
      </c>
      <c r="C63" s="16" t="inlineStr">
        <is>
          <t>Delivered</t>
        </is>
      </c>
      <c r="D63" s="16" t="inlineStr">
        <is>
          <t>128-02809917461113314</t>
        </is>
      </c>
      <c r="E63" s="16" t="inlineStr">
        <is>
          <t>Delivered</t>
        </is>
      </c>
      <c r="F63" s="16" t="inlineStr">
        <is>
          <t>MB-183N</t>
        </is>
      </c>
      <c r="G63" s="16" t="inlineStr">
        <is>
          <t>Linkbits Altavoz Bluetooth Portátil con Stereo Inalámbrico TWS Impermeable y a Prueba de Polvo IP65 Altavoz de Graves de Rango Completo de 52mm con Doble Unidad Ligero de 215g para Camping Senderismo y Fiestas al Aire Libre</t>
        </is>
      </c>
      <c r="H63" s="16" t="inlineStr">
        <is>
          <t>NEGRO/MB-183</t>
        </is>
      </c>
      <c r="I63" s="16" t="n">
        <v>1</v>
      </c>
      <c r="J63" s="17" t="n">
        <v>80</v>
      </c>
      <c r="K63" s="17" t="n">
        <v>97.39</v>
      </c>
      <c r="L63" s="17" t="n">
        <v>25.86</v>
      </c>
      <c r="M63" s="17" t="n">
        <v>0</v>
      </c>
      <c r="N63" s="17">
        <f>K63*0.08+L63*0.08</f>
        <v/>
      </c>
      <c r="O63" s="17">
        <f>-(K63*0.025+L63*0.025)</f>
        <v/>
      </c>
      <c r="P63" s="17">
        <f>32</f>
        <v/>
      </c>
      <c r="Q63" s="17">
        <f>J63+L63+N63+O63-P63-M63</f>
        <v/>
      </c>
    </row>
    <row r="64">
      <c r="A64" s="16" t="inlineStr">
        <is>
          <t>5.1-5.7</t>
        </is>
      </c>
      <c r="B64" s="16" t="inlineStr">
        <is>
          <t>PO-128-03317909463670222</t>
        </is>
      </c>
      <c r="C64" s="16" t="inlineStr">
        <is>
          <t>Delivered</t>
        </is>
      </c>
      <c r="D64" s="16" t="inlineStr">
        <is>
          <t>128-03317867520630222</t>
        </is>
      </c>
      <c r="E64" s="16" t="inlineStr">
        <is>
          <t>Delivered</t>
        </is>
      </c>
      <c r="F64" s="16" t="inlineStr">
        <is>
          <t>MB-183R</t>
        </is>
      </c>
      <c r="G64" s="16" t="inlineStr">
        <is>
          <t>Linkbits Altavoz Bluetooth Portátil con Stereo Inalámbrico TWS Impermeable y a Prueba de Polvo IP65 Altavoz de Graves de Rango Completo de 52mm con Doble Unidad Ligero de 215g para Camping Senderismo y Fiestas al Aire Libre</t>
        </is>
      </c>
      <c r="H64" s="16" t="inlineStr">
        <is>
          <t>ROJO/MB-183</t>
        </is>
      </c>
      <c r="I64" s="16" t="n">
        <v>1</v>
      </c>
      <c r="J64" s="17" t="n">
        <v>68</v>
      </c>
      <c r="K64" s="17" t="n">
        <v>85.39</v>
      </c>
      <c r="L64" s="17" t="n">
        <v>25.86</v>
      </c>
      <c r="M64" s="17" t="n">
        <v>0</v>
      </c>
      <c r="N64" s="17">
        <f>K64*0.08+L64*0.08</f>
        <v/>
      </c>
      <c r="O64" s="17">
        <f>-(K64*0.025+L64*0.025)</f>
        <v/>
      </c>
      <c r="P64" s="17">
        <f>32</f>
        <v/>
      </c>
      <c r="Q64" s="17">
        <f>J64+L64+N64+O64-P64-M64</f>
        <v/>
      </c>
    </row>
    <row r="65">
      <c r="A65" s="16" t="inlineStr">
        <is>
          <t>5.1-5.7</t>
        </is>
      </c>
      <c r="B65" s="16" t="inlineStr">
        <is>
          <t>PO-128-03051999683192705</t>
        </is>
      </c>
      <c r="C65" s="16" t="inlineStr">
        <is>
          <t>Delivered</t>
        </is>
      </c>
      <c r="D65" s="16" t="inlineStr">
        <is>
          <t>128-03052041626232705</t>
        </is>
      </c>
      <c r="E65" s="16" t="inlineStr">
        <is>
          <t>Delivered</t>
        </is>
      </c>
      <c r="F65" s="16" t="inlineStr">
        <is>
          <t>SA320T-A</t>
        </is>
      </c>
      <c r="G65" s="16" t="inlineStr">
        <is>
          <t>Altavoz inalámbrico portátil con Luces RGB, Radio FM y Manija - 5h Duración, TWS, TF Card, Compacto y Recargable via USB，Perfecto para viajes, fiestas y gaming</t>
        </is>
      </c>
      <c r="H65" s="16" t="inlineStr">
        <is>
          <t>azul</t>
        </is>
      </c>
      <c r="I65" s="16" t="n">
        <v>1</v>
      </c>
      <c r="J65" s="17" t="n">
        <v>60</v>
      </c>
      <c r="K65" s="17" t="n">
        <v>70.73</v>
      </c>
      <c r="L65" s="17" t="n">
        <v>25.86</v>
      </c>
      <c r="M65" s="17" t="n">
        <v>0</v>
      </c>
      <c r="N65" s="17">
        <f>K65*0.08+L65*0.08</f>
        <v/>
      </c>
      <c r="O65" s="17">
        <f>-(K65*0.025+L65*0.025)</f>
        <v/>
      </c>
      <c r="P65" s="17">
        <f>32</f>
        <v/>
      </c>
      <c r="Q65" s="17">
        <f>J65+L65+N65+O65-P65-M65</f>
        <v/>
      </c>
    </row>
    <row r="66">
      <c r="A66" s="16" t="inlineStr">
        <is>
          <t>5.1-5.7</t>
        </is>
      </c>
      <c r="B66" s="16" t="inlineStr">
        <is>
          <t>PO-128-02959143946872427</t>
        </is>
      </c>
      <c r="C66" s="16" t="inlineStr">
        <is>
          <t>Delivered</t>
        </is>
      </c>
      <c r="D66" s="16" t="inlineStr">
        <is>
          <t>128-02959102003832427</t>
        </is>
      </c>
      <c r="E66" s="16" t="inlineStr">
        <is>
          <t>Delivered</t>
        </is>
      </c>
      <c r="F66" s="16" t="inlineStr">
        <is>
          <t>A500-N</t>
        </is>
      </c>
      <c r="G66" s="16" t="inlineStr">
        <is>
          <t>Bocina Bluetooth Portátil Barra de Sonido, Inalámbrica con FM Radio, TWS, USB/TF, Graves Potentes para Hogar y Exteriores</t>
        </is>
      </c>
      <c r="H66" s="16" t="inlineStr">
        <is>
          <t>NEGRO</t>
        </is>
      </c>
      <c r="I66" s="16" t="n">
        <v>1</v>
      </c>
      <c r="J66" s="17" t="n">
        <v>79.5</v>
      </c>
      <c r="K66" s="17" t="n">
        <v>92.36</v>
      </c>
      <c r="L66" s="17" t="n">
        <v>25.86</v>
      </c>
      <c r="M66" s="17" t="n">
        <v>0</v>
      </c>
      <c r="N66" s="17">
        <f>K66*0.08+L66*0.08</f>
        <v/>
      </c>
      <c r="O66" s="17">
        <f>-(K66*0.025+L66*0.025)</f>
        <v/>
      </c>
      <c r="P66" s="17">
        <f>32</f>
        <v/>
      </c>
      <c r="Q66" s="17">
        <f>J66+L66+N66+O66-P66-M66</f>
        <v/>
      </c>
    </row>
    <row r="67">
      <c r="A67" s="16" t="inlineStr">
        <is>
          <t>5.1-5.7</t>
        </is>
      </c>
      <c r="B67" s="16" t="inlineStr">
        <is>
          <t>PO-128-18586853366391372</t>
        </is>
      </c>
      <c r="C67" s="16" t="inlineStr">
        <is>
          <t>Delivered</t>
        </is>
      </c>
      <c r="D67" s="16" t="inlineStr">
        <is>
          <t>128-18586887445111372</t>
        </is>
      </c>
      <c r="E67" s="16" t="inlineStr">
        <is>
          <t>Delivered</t>
        </is>
      </c>
      <c r="F67" s="16" t="inlineStr">
        <is>
          <t>A500-N</t>
        </is>
      </c>
      <c r="G67" s="16" t="inlineStr">
        <is>
          <t>Bocina Bluetooth Portátil Barra de Sonido, Inalámbrica con FM Radio, TWS, USB/TF, Graves Potentes para Hogar y Exteriores</t>
        </is>
      </c>
      <c r="H67" s="16" t="inlineStr">
        <is>
          <t>NEGRO</t>
        </is>
      </c>
      <c r="I67" s="16" t="n">
        <v>1</v>
      </c>
      <c r="J67" s="17" t="n">
        <v>79.5</v>
      </c>
      <c r="K67" s="17" t="n">
        <v>92.36</v>
      </c>
      <c r="L67" s="17" t="n">
        <v>25.86</v>
      </c>
      <c r="M67" s="17" t="n">
        <v>0</v>
      </c>
      <c r="N67" s="17">
        <f>K67*0.08+L67*0.08</f>
        <v/>
      </c>
      <c r="O67" s="17">
        <f>-(K67*0.025+L67*0.025)</f>
        <v/>
      </c>
      <c r="P67" s="17">
        <f>32</f>
        <v/>
      </c>
      <c r="Q67" s="17">
        <f>J67+L67+N67+O67-P67-M67</f>
        <v/>
      </c>
    </row>
    <row r="68">
      <c r="A68" s="16" t="inlineStr">
        <is>
          <t>5.1-5.7</t>
        </is>
      </c>
      <c r="B68" s="16" t="inlineStr">
        <is>
          <t>PO-128-18946059766393201</t>
        </is>
      </c>
      <c r="C68" s="16" t="inlineStr">
        <is>
          <t>Delivered</t>
        </is>
      </c>
      <c r="D68" s="16" t="inlineStr">
        <is>
          <t>128-18946028309113201</t>
        </is>
      </c>
      <c r="E68" s="16" t="inlineStr">
        <is>
          <t>Delivered</t>
        </is>
      </c>
      <c r="F68" s="16" t="inlineStr">
        <is>
          <t>A500-N</t>
        </is>
      </c>
      <c r="G68" s="16" t="inlineStr">
        <is>
          <t>Bocina Bluetooth Portátil Barra de Sonido, Inalámbrica con FM Radio, TWS, USB/TF, Graves Potentes para Hogar y Exteriores</t>
        </is>
      </c>
      <c r="H68" s="16" t="inlineStr">
        <is>
          <t>NEGRO</t>
        </is>
      </c>
      <c r="I68" s="16" t="n">
        <v>1</v>
      </c>
      <c r="J68" s="17" t="n">
        <v>79.5</v>
      </c>
      <c r="K68" s="17" t="n">
        <v>92.34999999999999</v>
      </c>
      <c r="L68" s="17" t="n">
        <v>25.86</v>
      </c>
      <c r="M68" s="17" t="n">
        <v>0</v>
      </c>
      <c r="N68" s="17">
        <f>K68*0.08+L68*0.08</f>
        <v/>
      </c>
      <c r="O68" s="17">
        <f>-(K68*0.025+L68*0.025)</f>
        <v/>
      </c>
      <c r="P68" s="17">
        <f>32</f>
        <v/>
      </c>
      <c r="Q68" s="17">
        <f>J68+L68+N68+O68-P68-M68</f>
        <v/>
      </c>
    </row>
    <row r="69">
      <c r="A69" s="16" t="inlineStr">
        <is>
          <t>5.1-5.7</t>
        </is>
      </c>
      <c r="B69" s="16" t="inlineStr">
        <is>
          <t>PO-128-19177306727032847</t>
        </is>
      </c>
      <c r="C69" s="16" t="inlineStr">
        <is>
          <t>Delivered</t>
        </is>
      </c>
      <c r="D69" s="16" t="inlineStr">
        <is>
          <t>128-19177327698552847</t>
        </is>
      </c>
      <c r="E69" s="16" t="inlineStr">
        <is>
          <t>Delivered</t>
        </is>
      </c>
      <c r="F69" s="16" t="inlineStr">
        <is>
          <t>A500-N</t>
        </is>
      </c>
      <c r="G69" s="16" t="inlineStr">
        <is>
          <t>Bocina Bluetooth Portátil Barra de Sonido, Inalámbrica con FM Radio, TWS, USB/TF, Graves Potentes para Hogar y Exteriores</t>
        </is>
      </c>
      <c r="H69" s="16" t="inlineStr">
        <is>
          <t>NEGRO</t>
        </is>
      </c>
      <c r="I69" s="16" t="n">
        <v>1</v>
      </c>
      <c r="J69" s="17" t="n">
        <v>79.5</v>
      </c>
      <c r="K69" s="17" t="n">
        <v>92.34999999999999</v>
      </c>
      <c r="L69" s="17" t="n">
        <v>25.86</v>
      </c>
      <c r="M69" s="17" t="n">
        <v>0</v>
      </c>
      <c r="N69" s="17">
        <f>K69*0.08+L69*0.08</f>
        <v/>
      </c>
      <c r="O69" s="17">
        <f>-(K69*0.025+L69*0.025)</f>
        <v/>
      </c>
      <c r="P69" s="17">
        <f>32</f>
        <v/>
      </c>
      <c r="Q69" s="17">
        <f>J69+L69+N69+O69-P69-M69</f>
        <v/>
      </c>
    </row>
    <row r="70">
      <c r="A70" s="16" t="inlineStr">
        <is>
          <t>5.1-5.7</t>
        </is>
      </c>
      <c r="B70" s="16" t="inlineStr">
        <is>
          <t>PO-128-18880804260470516</t>
        </is>
      </c>
      <c r="C70" s="16" t="inlineStr">
        <is>
          <t>Delivered</t>
        </is>
      </c>
      <c r="D70" s="16" t="inlineStr">
        <is>
          <t>128-18880772803190516</t>
        </is>
      </c>
      <c r="E70" s="16" t="inlineStr">
        <is>
          <t>Delivered</t>
        </is>
      </c>
      <c r="F70" s="16" t="inlineStr">
        <is>
          <t>A500-R</t>
        </is>
      </c>
      <c r="G70" s="16" t="inlineStr">
        <is>
          <t>Bocina Bluetooth Portátil Barra de Sonido, Inalámbrica con FM Radio, TWS, USB/TF, Graves Potentes para Hogar y Exteriores</t>
        </is>
      </c>
      <c r="H70" s="16" t="inlineStr">
        <is>
          <t>ROIO</t>
        </is>
      </c>
      <c r="I70" s="16" t="n">
        <v>1</v>
      </c>
      <c r="J70" s="17" t="n">
        <v>78</v>
      </c>
      <c r="K70" s="17" t="n">
        <v>92.14</v>
      </c>
      <c r="L70" s="17" t="n">
        <v>25.86</v>
      </c>
      <c r="M70" s="17" t="n">
        <v>0</v>
      </c>
      <c r="N70" s="17">
        <f>K70*0.08+L70*0.08</f>
        <v/>
      </c>
      <c r="O70" s="17">
        <f>-(K70*0.025+L70*0.025)</f>
        <v/>
      </c>
      <c r="P70" s="17">
        <f>32</f>
        <v/>
      </c>
      <c r="Q70" s="17">
        <f>J70+L70+N70+O70-P70-M70</f>
        <v/>
      </c>
    </row>
    <row r="71">
      <c r="A71" s="16" t="inlineStr">
        <is>
          <t>5.1-5.7</t>
        </is>
      </c>
      <c r="B71" s="16" t="inlineStr">
        <is>
          <t>PO-128-18918817055353554</t>
        </is>
      </c>
      <c r="C71" s="16" t="inlineStr">
        <is>
          <t>Delivered</t>
        </is>
      </c>
      <c r="D71" s="16" t="inlineStr">
        <is>
          <t>128-18918822298233554</t>
        </is>
      </c>
      <c r="E71" s="16" t="inlineStr">
        <is>
          <t>Delivered</t>
        </is>
      </c>
      <c r="F71" s="16" t="inlineStr">
        <is>
          <t>MB-185N</t>
        </is>
      </c>
      <c r="G71" s="16" t="inlineStr">
        <is>
          <t>Bocina Radio FM/Reproductor, Compatible con Tarjeta TF, USB, Bluetooth, Aplicable para celular, computadora, Ipad y consola</t>
        </is>
      </c>
      <c r="H71" s="16" t="inlineStr">
        <is>
          <t>NEGRO/MB-185</t>
        </is>
      </c>
      <c r="I71" s="16" t="n">
        <v>1</v>
      </c>
      <c r="J71" s="17" t="n">
        <v>66</v>
      </c>
      <c r="K71" s="17" t="n">
        <v>67.11</v>
      </c>
      <c r="L71" s="17" t="n">
        <v>25.86</v>
      </c>
      <c r="M71" s="17" t="n">
        <v>0</v>
      </c>
      <c r="N71" s="17">
        <f>K71*0.08+L71*0.08</f>
        <v/>
      </c>
      <c r="O71" s="17">
        <f>-(K71*0.025+L71*0.025)</f>
        <v/>
      </c>
      <c r="P71" s="17">
        <f>32</f>
        <v/>
      </c>
      <c r="Q71" s="17">
        <f>J71+L71+N71+O71-P71-M71</f>
        <v/>
      </c>
    </row>
    <row r="72">
      <c r="A72" s="16" t="inlineStr">
        <is>
          <t>5.1-5.7</t>
        </is>
      </c>
      <c r="B72" s="16" t="inlineStr">
        <is>
          <t>PO-128-19121443799672218</t>
        </is>
      </c>
      <c r="C72" s="16" t="inlineStr">
        <is>
          <t>Delivered</t>
        </is>
      </c>
      <c r="D72" s="16" t="inlineStr">
        <is>
          <t>128-19121464771192218</t>
        </is>
      </c>
      <c r="E72" s="16" t="inlineStr">
        <is>
          <t>Delivered</t>
        </is>
      </c>
      <c r="F72" s="16" t="inlineStr">
        <is>
          <t>A500-N</t>
        </is>
      </c>
      <c r="G72" s="16" t="inlineStr">
        <is>
          <t>Bocina Bluetooth Portátil Barra de Sonido, Inalámbrica con FM Radio, TWS, USB/TF, Graves Potentes para Hogar y Exteriores</t>
        </is>
      </c>
      <c r="H72" s="16" t="inlineStr">
        <is>
          <t>NEGRO</t>
        </is>
      </c>
      <c r="I72" s="16" t="n">
        <v>1</v>
      </c>
      <c r="J72" s="17" t="n">
        <v>79.5</v>
      </c>
      <c r="K72" s="17" t="n">
        <v>92.34999999999999</v>
      </c>
      <c r="L72" s="17" t="n">
        <v>25.86</v>
      </c>
      <c r="M72" s="17" t="n">
        <v>0</v>
      </c>
      <c r="N72" s="17">
        <f>K72*0.08+L72*0.08</f>
        <v/>
      </c>
      <c r="O72" s="17">
        <f>-(K72*0.025+L72*0.025)</f>
        <v/>
      </c>
      <c r="P72" s="17">
        <f>32</f>
        <v/>
      </c>
      <c r="Q72" s="17">
        <f>J72+L72+N72+O72-P72-M72</f>
        <v/>
      </c>
    </row>
    <row r="73">
      <c r="A73" s="16" t="inlineStr">
        <is>
          <t>5.1-5.7</t>
        </is>
      </c>
      <c r="B73" s="16" t="inlineStr">
        <is>
          <t>PO-128-18677382513271859</t>
        </is>
      </c>
      <c r="C73" s="16" t="inlineStr">
        <is>
          <t>Delivered</t>
        </is>
      </c>
      <c r="D73" s="16" t="inlineStr">
        <is>
          <t>128-18677340570231859</t>
        </is>
      </c>
      <c r="E73" s="16" t="inlineStr">
        <is>
          <t>Delivered</t>
        </is>
      </c>
      <c r="F73" s="16" t="inlineStr">
        <is>
          <t>A500-N</t>
        </is>
      </c>
      <c r="G73" s="16" t="inlineStr">
        <is>
          <t>Bocina Bluetooth Portátil Barra de Sonido, Inalámbrica con FM Radio, TWS, USB/TF, Graves Potentes para Hogar y Exteriores</t>
        </is>
      </c>
      <c r="H73" s="16" t="inlineStr">
        <is>
          <t>NEGRO</t>
        </is>
      </c>
      <c r="I73" s="16" t="n">
        <v>1</v>
      </c>
      <c r="J73" s="17" t="n">
        <v>79.5</v>
      </c>
      <c r="K73" s="17" t="n">
        <v>92.34999999999999</v>
      </c>
      <c r="L73" s="17" t="n">
        <v>25.86</v>
      </c>
      <c r="M73" s="17" t="n">
        <v>0</v>
      </c>
      <c r="N73" s="17">
        <f>K73*0.08+L73*0.08</f>
        <v/>
      </c>
      <c r="O73" s="17">
        <f>-(K73*0.025+L73*0.025)</f>
        <v/>
      </c>
      <c r="P73" s="17">
        <f>32</f>
        <v/>
      </c>
      <c r="Q73" s="17">
        <f>J73+L73+N73+O73-P73-M73</f>
        <v/>
      </c>
    </row>
    <row r="74">
      <c r="A74" s="16" t="inlineStr">
        <is>
          <t>5.1-5.7</t>
        </is>
      </c>
      <c r="B74" s="16" t="inlineStr">
        <is>
          <t>PO-128-18859420191350644</t>
        </is>
      </c>
      <c r="C74" s="16" t="inlineStr">
        <is>
          <t>Delivered</t>
        </is>
      </c>
      <c r="D74" s="16" t="inlineStr">
        <is>
          <t>128-18859378248310644</t>
        </is>
      </c>
      <c r="E74" s="16" t="inlineStr">
        <is>
          <t>Delivered</t>
        </is>
      </c>
      <c r="F74" s="16" t="inlineStr">
        <is>
          <t>MB-183R</t>
        </is>
      </c>
      <c r="G74" s="16" t="inlineStr">
        <is>
          <t>Linkbits Altavoz Bluetooth Portátil con Stereo Inalámbrico TWS Impermeable y a Prueba de Polvo IP65 Altavoz de Graves de Rango Completo de 52mm con Doble Unidad Ligero de 215g para Camping Senderismo y Fiestas al Aire Libre</t>
        </is>
      </c>
      <c r="H74" s="16" t="inlineStr">
        <is>
          <t>ROJO/MB-183</t>
        </is>
      </c>
      <c r="I74" s="16" t="n">
        <v>1</v>
      </c>
      <c r="J74" s="17" t="n">
        <v>70</v>
      </c>
      <c r="K74" s="17" t="n">
        <v>4.63</v>
      </c>
      <c r="L74" s="17" t="n">
        <v>25.86</v>
      </c>
      <c r="M74" s="17" t="n">
        <v>0</v>
      </c>
      <c r="N74" s="17">
        <f>K74*0.08+L74*0.08</f>
        <v/>
      </c>
      <c r="O74" s="17">
        <f>-(K74*0.025+L74*0.025)</f>
        <v/>
      </c>
      <c r="P74" s="17">
        <f>32</f>
        <v/>
      </c>
      <c r="Q74" s="17">
        <f>J74+L74+N74+O74-P74-M74</f>
        <v/>
      </c>
    </row>
    <row r="75">
      <c r="A75" s="16" t="inlineStr">
        <is>
          <t>5.1-5.7</t>
        </is>
      </c>
      <c r="B75" s="16" t="inlineStr">
        <is>
          <t>PO-128-18859331297910644</t>
        </is>
      </c>
      <c r="C75" s="16" t="inlineStr">
        <is>
          <t>Delivered</t>
        </is>
      </c>
      <c r="D75" s="16" t="inlineStr">
        <is>
          <t>128-18859373240950644</t>
        </is>
      </c>
      <c r="E75" s="16" t="inlineStr">
        <is>
          <t>Delivered</t>
        </is>
      </c>
      <c r="F75" s="16" t="inlineStr">
        <is>
          <t>MB-183R</t>
        </is>
      </c>
      <c r="G75" s="16" t="inlineStr">
        <is>
          <t>Linkbits Altavoz Bluetooth Portátil con Stereo Inalámbrico TWS Impermeable y a Prueba de Polvo IP65 Altavoz de Graves de Rango Completo de 52mm con Doble Unidad Ligero de 215g para Camping Senderismo y Fiestas al Aire Libre</t>
        </is>
      </c>
      <c r="H75" s="16" t="inlineStr">
        <is>
          <t>ROJO/MB-183</t>
        </is>
      </c>
      <c r="I75" s="16" t="n">
        <v>1</v>
      </c>
      <c r="J75" s="17" t="n">
        <v>70</v>
      </c>
      <c r="K75" s="17" t="n">
        <v>4.63</v>
      </c>
      <c r="L75" s="17" t="n">
        <v>25.86</v>
      </c>
      <c r="M75" s="17" t="n">
        <v>0</v>
      </c>
      <c r="N75" s="17">
        <f>K75*0.08+L75*0.08</f>
        <v/>
      </c>
      <c r="O75" s="17">
        <f>-(K75*0.025+L75*0.025)</f>
        <v/>
      </c>
      <c r="P75" s="17">
        <f>32</f>
        <v/>
      </c>
      <c r="Q75" s="17">
        <f>J75+L75+N75+O75-P75-M75</f>
        <v/>
      </c>
    </row>
    <row r="76">
      <c r="A76" s="16" t="inlineStr">
        <is>
          <t>5.1-5.7</t>
        </is>
      </c>
      <c r="B76" s="16" t="inlineStr">
        <is>
          <t>PO-128-19057924741753620</t>
        </is>
      </c>
      <c r="C76" s="16" t="inlineStr">
        <is>
          <t>Delivered</t>
        </is>
      </c>
      <c r="D76" s="16" t="inlineStr">
        <is>
          <t>128-19058061056633620</t>
        </is>
      </c>
      <c r="E76" s="16" t="inlineStr">
        <is>
          <t>Delivered</t>
        </is>
      </c>
      <c r="F76" s="16" t="inlineStr">
        <is>
          <t>A500-R</t>
        </is>
      </c>
      <c r="G76" s="16" t="inlineStr">
        <is>
          <t>Bocina Bluetooth Portátil Barra de Sonido, Inalámbrica con FM Radio, TWS, USB/TF, Graves Potentes para Hogar y Exteriores</t>
        </is>
      </c>
      <c r="H76" s="16" t="inlineStr">
        <is>
          <t>ROIO</t>
        </is>
      </c>
      <c r="I76" s="16" t="n">
        <v>1</v>
      </c>
      <c r="J76" s="17" t="n">
        <v>78.98999999999999</v>
      </c>
      <c r="K76" s="17" t="n">
        <v>93.13</v>
      </c>
      <c r="L76" s="17" t="n">
        <v>25.86</v>
      </c>
      <c r="M76" s="17" t="n">
        <v>0</v>
      </c>
      <c r="N76" s="17">
        <f>K76*0.08+L76*0.08</f>
        <v/>
      </c>
      <c r="O76" s="17">
        <f>-(K76*0.025+L76*0.025)</f>
        <v/>
      </c>
      <c r="P76" s="17">
        <f>32</f>
        <v/>
      </c>
      <c r="Q76" s="17">
        <f>J76+L76+N76+O76-P76-M76</f>
        <v/>
      </c>
    </row>
    <row r="77">
      <c r="A77" s="16" t="inlineStr">
        <is>
          <t>5.1-5.7</t>
        </is>
      </c>
      <c r="B77" s="16" t="inlineStr">
        <is>
          <t>PO-128-18786597837430246</t>
        </is>
      </c>
      <c r="C77" s="16" t="inlineStr">
        <is>
          <t>Delivered</t>
        </is>
      </c>
      <c r="D77" s="16" t="inlineStr">
        <is>
          <t>128-18786555894390246</t>
        </is>
      </c>
      <c r="E77" s="16" t="inlineStr">
        <is>
          <t>Delivered</t>
        </is>
      </c>
      <c r="F77" s="16" t="inlineStr">
        <is>
          <t>MB-183N</t>
        </is>
      </c>
      <c r="G77" s="16" t="inlineStr">
        <is>
          <t>Linkbits Altavoz Bluetooth Portátil con Stereo Inalámbrico TWS Impermeable y a Prueba de Polvo IP65 Altavoz de Graves de Rango Completo de 52mm con Doble Unidad Ligero de 215g para Camping Senderismo y Fiestas al Aire Libre</t>
        </is>
      </c>
      <c r="H77" s="16" t="inlineStr">
        <is>
          <t>NEGRO/MB-183</t>
        </is>
      </c>
      <c r="I77" s="16" t="n">
        <v>1</v>
      </c>
      <c r="J77" s="17" t="n">
        <v>95</v>
      </c>
      <c r="K77" s="17" t="n">
        <v>112.39</v>
      </c>
      <c r="L77" s="17" t="n">
        <v>25.86</v>
      </c>
      <c r="M77" s="17" t="n">
        <v>0</v>
      </c>
      <c r="N77" s="17">
        <f>K77*0.08+L77*0.08</f>
        <v/>
      </c>
      <c r="O77" s="17">
        <f>-(K77*0.025+L77*0.025)</f>
        <v/>
      </c>
      <c r="P77" s="17">
        <f>32</f>
        <v/>
      </c>
      <c r="Q77" s="17">
        <f>J77+L77+N77+O77-P77-M77</f>
        <v/>
      </c>
    </row>
    <row r="78">
      <c r="A78" s="16" t="inlineStr">
        <is>
          <t>5.1-5.7</t>
        </is>
      </c>
      <c r="B78" s="16" t="inlineStr">
        <is>
          <t>PO-128-18556912865911425</t>
        </is>
      </c>
      <c r="C78" s="16" t="inlineStr">
        <is>
          <t>Delivered</t>
        </is>
      </c>
      <c r="D78" s="16" t="inlineStr">
        <is>
          <t>128-18556942357111425</t>
        </is>
      </c>
      <c r="E78" s="16" t="inlineStr">
        <is>
          <t>Delivered</t>
        </is>
      </c>
      <c r="F78" s="16" t="inlineStr">
        <is>
          <t>A500-A</t>
        </is>
      </c>
      <c r="G78" s="16" t="inlineStr">
        <is>
          <t>Bocina Bluetooth Portátil Barra de Sonido, Inalámbrica con FM Radio, TWS, USB/TF, Graves Potentes para Hogar y Exteriores</t>
        </is>
      </c>
      <c r="H78" s="16" t="inlineStr">
        <is>
          <t>AZUL</t>
        </is>
      </c>
      <c r="I78" s="16" t="n">
        <v>1</v>
      </c>
      <c r="J78" s="17" t="n">
        <v>80</v>
      </c>
      <c r="K78" s="17" t="n">
        <v>90.48</v>
      </c>
      <c r="L78" s="17" t="n">
        <v>25.86</v>
      </c>
      <c r="M78" s="17" t="n">
        <v>0</v>
      </c>
      <c r="N78" s="17">
        <f>K78*0.08+L78*0.08</f>
        <v/>
      </c>
      <c r="O78" s="17">
        <f>-(K78*0.025+L78*0.025)</f>
        <v/>
      </c>
      <c r="P78" s="17">
        <f>32</f>
        <v/>
      </c>
      <c r="Q78" s="17">
        <f>J78+L78+N78+O78-P78-M78</f>
        <v/>
      </c>
    </row>
    <row r="79">
      <c r="A79" s="16" t="inlineStr">
        <is>
          <t>5.1-5.7</t>
        </is>
      </c>
      <c r="B79" s="16" t="inlineStr">
        <is>
          <t>PO-128-07616170455671229</t>
        </is>
      </c>
      <c r="C79" s="16" t="inlineStr">
        <is>
          <t>Delivered</t>
        </is>
      </c>
      <c r="D79" s="16" t="inlineStr">
        <is>
          <t>128-07616175698551229</t>
        </is>
      </c>
      <c r="E79" s="16" t="inlineStr">
        <is>
          <t>Delivered</t>
        </is>
      </c>
      <c r="F79" s="16" t="inlineStr">
        <is>
          <t>A500-A</t>
        </is>
      </c>
      <c r="G79" s="16" t="inlineStr">
        <is>
          <t>Bocina Bluetooth Portátil Barra de Sonido, Inalámbrica con FM Radio, TWS, USB/TF, Graves Potentes para Hogar y Exteriores</t>
        </is>
      </c>
      <c r="H79" s="16" t="inlineStr">
        <is>
          <t>AZUL</t>
        </is>
      </c>
      <c r="I79" s="16" t="n">
        <v>1</v>
      </c>
      <c r="J79" s="17" t="n">
        <v>80</v>
      </c>
      <c r="K79" s="17" t="n">
        <v>64.23999999999999</v>
      </c>
      <c r="L79" s="17" t="n">
        <v>25.86</v>
      </c>
      <c r="M79" s="17" t="n">
        <v>0</v>
      </c>
      <c r="N79" s="17">
        <f>K79*0.08+L79*0.08</f>
        <v/>
      </c>
      <c r="O79" s="17">
        <f>-(K79*0.025+L79*0.025)</f>
        <v/>
      </c>
      <c r="P79" s="17">
        <f>32</f>
        <v/>
      </c>
      <c r="Q79" s="17">
        <f>J79+L79+N79+O79-P79-M79</f>
        <v/>
      </c>
    </row>
    <row r="80">
      <c r="A80" s="16" t="inlineStr">
        <is>
          <t>5.1-5.7</t>
        </is>
      </c>
      <c r="B80" s="16" t="inlineStr">
        <is>
          <t>PO-128-07795484856950030</t>
        </is>
      </c>
      <c r="C80" s="16" t="inlineStr">
        <is>
          <t>Delivered</t>
        </is>
      </c>
      <c r="D80" s="16" t="inlineStr">
        <is>
          <t>128-07795505828470030</t>
        </is>
      </c>
      <c r="E80" s="16" t="inlineStr">
        <is>
          <t>Delivered</t>
        </is>
      </c>
      <c r="F80" s="16" t="inlineStr">
        <is>
          <t>SA320T-Y</t>
        </is>
      </c>
      <c r="G80" s="16" t="inlineStr">
        <is>
          <t>Altavoz inalámbrico portátil con Luces RGB, Radio FM y Manija - 5h Duración, TWS, TF Card, Compacto y Recargable via USB，Perfecto para viajes, fiestas y gaming</t>
        </is>
      </c>
      <c r="H80" s="16" t="inlineStr">
        <is>
          <t>amarillo</t>
        </is>
      </c>
      <c r="I80" s="16" t="n">
        <v>2</v>
      </c>
      <c r="J80" s="17" t="n">
        <v>114</v>
      </c>
      <c r="K80" s="17" t="n">
        <v>134.34</v>
      </c>
      <c r="L80" s="17" t="n">
        <v>25.86</v>
      </c>
      <c r="M80" s="17" t="n">
        <v>0</v>
      </c>
      <c r="N80" s="17">
        <f>K80*0.08+L80*0.08</f>
        <v/>
      </c>
      <c r="O80" s="17">
        <f>-(K80*0.025+L80*0.025)</f>
        <v/>
      </c>
      <c r="P80" s="17">
        <f>32</f>
        <v/>
      </c>
      <c r="Q80" s="17">
        <f>J80+L80+N80+O80-P80-M80</f>
        <v/>
      </c>
    </row>
    <row r="81">
      <c r="A81" s="16" t="inlineStr">
        <is>
          <t>5.1-5.7</t>
        </is>
      </c>
      <c r="B81" s="16" t="inlineStr">
        <is>
          <t>PO-128-08016372593273899</t>
        </is>
      </c>
      <c r="C81" s="16" t="inlineStr">
        <is>
          <t>Delivered</t>
        </is>
      </c>
      <c r="D81" s="16" t="inlineStr">
        <is>
          <t>128-08016356864633899</t>
        </is>
      </c>
      <c r="E81" s="16" t="inlineStr">
        <is>
          <t>Delivered</t>
        </is>
      </c>
      <c r="F81" s="16" t="inlineStr">
        <is>
          <t>F025ACC</t>
        </is>
      </c>
      <c r="G81" s="16" t="inlineStr">
        <is>
          <t>Sopladora Turbo Inalámbrica 130000 RPM - Aire Comprimido Eléctrico con Batería 8400mAh, Carga Rápida 2.5H, Ajuste Infinito de Velocidad, Kit Limpieza Multiuso para PC, Coche, Hogar y Exteriores</t>
        </is>
      </c>
      <c r="H81" s="16" t="inlineStr">
        <is>
          <t>Kit Completo/1Pieza</t>
        </is>
      </c>
      <c r="I81" s="16" t="n">
        <v>1</v>
      </c>
      <c r="J81" s="17" t="n">
        <v>170</v>
      </c>
      <c r="K81" s="17" t="n">
        <v>221.94</v>
      </c>
      <c r="L81" s="17" t="n">
        <v>25.86</v>
      </c>
      <c r="M81" s="17" t="n">
        <v>0</v>
      </c>
      <c r="N81" s="17">
        <f>K81*0.08+L81*0.08</f>
        <v/>
      </c>
      <c r="O81" s="17">
        <f>-(K81*0.025+L81*0.025)</f>
        <v/>
      </c>
      <c r="P81" s="17">
        <f>32</f>
        <v/>
      </c>
      <c r="Q81" s="17">
        <f>J81+L81+N81+O81-P81-M81</f>
        <v/>
      </c>
    </row>
    <row r="82">
      <c r="A82" s="16" t="inlineStr">
        <is>
          <t>5.1-5.7</t>
        </is>
      </c>
      <c r="B82" s="16" t="inlineStr">
        <is>
          <t>PO-128-07676544942711829</t>
        </is>
      </c>
      <c r="C82" s="16" t="inlineStr">
        <is>
          <t>Delivered</t>
        </is>
      </c>
      <c r="D82" s="16" t="inlineStr">
        <is>
          <t>128-07676579021431829</t>
        </is>
      </c>
      <c r="E82" s="16" t="inlineStr">
        <is>
          <t>Delivered</t>
        </is>
      </c>
      <c r="F82" s="16" t="inlineStr">
        <is>
          <t>A500-N</t>
        </is>
      </c>
      <c r="G82" s="16" t="inlineStr">
        <is>
          <t>Bocina Bluetooth Portátil Barra de Sonido, Inalámbrica con FM Radio, TWS, USB/TF, Graves Potentes para Hogar y Exteriores</t>
        </is>
      </c>
      <c r="H82" s="16" t="inlineStr">
        <is>
          <t>NEGRO</t>
        </is>
      </c>
      <c r="I82" s="16" t="n">
        <v>1</v>
      </c>
      <c r="J82" s="17" t="n">
        <v>81</v>
      </c>
      <c r="K82" s="17" t="n">
        <v>93.84999999999999</v>
      </c>
      <c r="L82" s="17" t="n">
        <v>25.86</v>
      </c>
      <c r="M82" s="17" t="n">
        <v>0</v>
      </c>
      <c r="N82" s="17">
        <f>K82*0.08+L82*0.08</f>
        <v/>
      </c>
      <c r="O82" s="17">
        <f>-(K82*0.025+L82*0.025)</f>
        <v/>
      </c>
      <c r="P82" s="17">
        <f>32</f>
        <v/>
      </c>
      <c r="Q82" s="17">
        <f>J82+L82+N82+O82-P82-M82</f>
        <v/>
      </c>
    </row>
    <row r="83">
      <c r="A83" s="16" t="inlineStr">
        <is>
          <t>5.1-5.7</t>
        </is>
      </c>
      <c r="B83" s="16" t="inlineStr">
        <is>
          <t>PO-128-08120990556792186</t>
        </is>
      </c>
      <c r="C83" s="16" t="inlineStr">
        <is>
          <t>Delivered</t>
        </is>
      </c>
      <c r="D83" s="16" t="inlineStr">
        <is>
          <t>128-08120948613752186</t>
        </is>
      </c>
      <c r="E83" s="16" t="inlineStr">
        <is>
          <t>Delivered</t>
        </is>
      </c>
      <c r="F83" s="16" t="inlineStr">
        <is>
          <t>MB-183N</t>
        </is>
      </c>
      <c r="G83" s="16" t="inlineStr">
        <is>
          <t>Linkbits Altavoz Bluetooth Portátil con Stereo Inalámbrico TWS Impermeable y a Prueba de Polvo IP65 Altavoz de Graves de Rango Completo de 52mm con Doble Unidad Ligero de 215g para Camping Senderismo y Fiestas al Aire Libre</t>
        </is>
      </c>
      <c r="H83" s="16" t="inlineStr">
        <is>
          <t>NEGRO/MB-183</t>
        </is>
      </c>
      <c r="I83" s="16" t="n">
        <v>1</v>
      </c>
      <c r="J83" s="17" t="n">
        <v>95</v>
      </c>
      <c r="K83" s="17" t="n">
        <v>112.39</v>
      </c>
      <c r="L83" s="17" t="n">
        <v>25.86</v>
      </c>
      <c r="M83" s="17" t="n">
        <v>0</v>
      </c>
      <c r="N83" s="17">
        <f>K83*0.08+L83*0.08</f>
        <v/>
      </c>
      <c r="O83" s="17">
        <f>-(K83*0.025+L83*0.025)</f>
        <v/>
      </c>
      <c r="P83" s="17">
        <f>32</f>
        <v/>
      </c>
      <c r="Q83" s="17">
        <f>J83+L83+N83+O83-P83-M83</f>
        <v/>
      </c>
    </row>
    <row r="84">
      <c r="A84" s="16" t="inlineStr">
        <is>
          <t>5.1-5.7</t>
        </is>
      </c>
      <c r="B84" s="16" t="inlineStr">
        <is>
          <t>PO-128-07938521109113403</t>
        </is>
      </c>
      <c r="C84" s="16" t="inlineStr">
        <is>
          <t>Delivered</t>
        </is>
      </c>
      <c r="D84" s="16" t="inlineStr">
        <is>
          <t>128-07938563052153403</t>
        </is>
      </c>
      <c r="E84" s="16" t="inlineStr">
        <is>
          <t>Delivered</t>
        </is>
      </c>
      <c r="F84" s="16" t="inlineStr">
        <is>
          <t>A500-A</t>
        </is>
      </c>
      <c r="G84" s="16" t="inlineStr">
        <is>
          <t>Bocina Bluetooth Portátil Barra de Sonido, Inalámbrica con FM Radio, TWS, USB/TF, Graves Potentes para Hogar y Exteriores</t>
        </is>
      </c>
      <c r="H84" s="16" t="inlineStr">
        <is>
          <t>AZUL</t>
        </is>
      </c>
      <c r="I84" s="16" t="n">
        <v>1</v>
      </c>
      <c r="J84" s="17" t="n">
        <v>80</v>
      </c>
      <c r="K84" s="17" t="n">
        <v>90.48</v>
      </c>
      <c r="L84" s="17" t="n">
        <v>25.86</v>
      </c>
      <c r="M84" s="17" t="n">
        <v>0</v>
      </c>
      <c r="N84" s="17">
        <f>K84*0.08+L84*0.08</f>
        <v/>
      </c>
      <c r="O84" s="17">
        <f>-(K84*0.025+L84*0.025)</f>
        <v/>
      </c>
      <c r="P84" s="17">
        <f>32</f>
        <v/>
      </c>
      <c r="Q84" s="17">
        <f>J84+L84+N84+O84-P84-M84</f>
        <v/>
      </c>
    </row>
    <row r="85">
      <c r="A85" s="16" t="inlineStr">
        <is>
          <t>5.1-5.7</t>
        </is>
      </c>
      <c r="B85" s="16" t="inlineStr">
        <is>
          <t>PO-128-07783485799030167</t>
        </is>
      </c>
      <c r="C85" s="16" t="inlineStr">
        <is>
          <t>Delivered</t>
        </is>
      </c>
      <c r="D85" s="16" t="inlineStr">
        <is>
          <t>128-07783590656630167</t>
        </is>
      </c>
      <c r="E85" s="16" t="inlineStr">
        <is>
          <t>Delivered</t>
        </is>
      </c>
      <c r="F85" s="16" t="inlineStr">
        <is>
          <t>A500-N</t>
        </is>
      </c>
      <c r="G85" s="16" t="inlineStr">
        <is>
          <t>Bocina Bluetooth Portátil Barra de Sonido, Inalámbrica con FM Radio, TWS, USB/TF, Graves Potentes para Hogar y Exteriores</t>
        </is>
      </c>
      <c r="H85" s="16" t="inlineStr">
        <is>
          <t>NEGRO</t>
        </is>
      </c>
      <c r="I85" s="16" t="n">
        <v>2</v>
      </c>
      <c r="J85" s="17" t="n">
        <v>162</v>
      </c>
      <c r="K85" s="17" t="n">
        <v>104.94</v>
      </c>
      <c r="L85" s="17" t="n">
        <v>25.86</v>
      </c>
      <c r="M85" s="17" t="n">
        <v>0</v>
      </c>
      <c r="N85" s="17">
        <f>K85*0.08+L85*0.08</f>
        <v/>
      </c>
      <c r="O85" s="17">
        <f>-(K85*0.025+L85*0.025)</f>
        <v/>
      </c>
      <c r="P85" s="17">
        <f>32</f>
        <v/>
      </c>
      <c r="Q85" s="17">
        <f>J85+L85+N85+O85-P85-M85</f>
        <v/>
      </c>
    </row>
    <row r="86">
      <c r="A86" s="16" t="inlineStr">
        <is>
          <t>5.1-5.7</t>
        </is>
      </c>
      <c r="B86" s="16" t="inlineStr">
        <is>
          <t>PO-128-07898558208630633</t>
        </is>
      </c>
      <c r="C86" s="16" t="inlineStr">
        <is>
          <t>Delivered</t>
        </is>
      </c>
      <c r="D86" s="16" t="inlineStr">
        <is>
          <t>128-07898610637430633</t>
        </is>
      </c>
      <c r="E86" s="16" t="inlineStr">
        <is>
          <t>Delivered</t>
        </is>
      </c>
      <c r="F86" s="16" t="inlineStr">
        <is>
          <t>A500-R</t>
        </is>
      </c>
      <c r="G86" s="16" t="inlineStr">
        <is>
          <t>Bocina Bluetooth Portátil Barra de Sonido, Inalámbrica con FM Radio, TWS, USB/TF, Graves Potentes para Hogar y Exteriores</t>
        </is>
      </c>
      <c r="H86" s="16" t="inlineStr">
        <is>
          <t>ROIO</t>
        </is>
      </c>
      <c r="I86" s="16" t="n">
        <v>1</v>
      </c>
      <c r="J86" s="17" t="n">
        <v>78.98999999999999</v>
      </c>
      <c r="K86" s="17" t="n">
        <v>93.13</v>
      </c>
      <c r="L86" s="17" t="n">
        <v>0</v>
      </c>
      <c r="M86" s="17" t="n">
        <v>93.13</v>
      </c>
      <c r="N86" s="17">
        <f>K86*0.08+L86*0.08</f>
        <v/>
      </c>
      <c r="O86" s="17">
        <f>-(K86*0.025+L86*0.025)</f>
        <v/>
      </c>
      <c r="P86" s="17">
        <f>32</f>
        <v/>
      </c>
      <c r="Q86" s="17">
        <f>J86+L86+N86+O86-P86-M86</f>
        <v/>
      </c>
    </row>
    <row r="87">
      <c r="A87" s="16" t="inlineStr">
        <is>
          <t>5.1-5.7</t>
        </is>
      </c>
      <c r="B87" s="16" t="inlineStr">
        <is>
          <t>PO-128-08180974746233044</t>
        </is>
      </c>
      <c r="C87" s="16" t="inlineStr">
        <is>
          <t>Delivered</t>
        </is>
      </c>
      <c r="D87" s="16" t="inlineStr">
        <is>
          <t>128-08180953774713044</t>
        </is>
      </c>
      <c r="E87" s="16" t="inlineStr">
        <is>
          <t>Delivered</t>
        </is>
      </c>
      <c r="F87" s="16" t="inlineStr">
        <is>
          <t>MB-184R</t>
        </is>
      </c>
      <c r="G87" s="16" t="inlineStr">
        <is>
          <t>Linkbits Portable Bluetooth Speaker - 800W Peak Power, 50W Full-Range Audio with Dual Bass System &amp; Deep Bass Membranes, Powerful &amp; Distortion-Free Sound, IP65 Waterproof Dustproof, TWS Support &amp; 6H Battery for Outdoor/Party</t>
        </is>
      </c>
      <c r="H87" s="16" t="inlineStr">
        <is>
          <t>ROJO/MB-184</t>
        </is>
      </c>
      <c r="I87" s="16" t="n">
        <v>1</v>
      </c>
      <c r="J87" s="17" t="n">
        <v>619.5</v>
      </c>
      <c r="K87" s="17" t="n">
        <v>729.13</v>
      </c>
      <c r="L87" s="17" t="n">
        <v>0</v>
      </c>
      <c r="M87" s="17" t="n">
        <v>0</v>
      </c>
      <c r="N87" s="17">
        <f>K87*0.08+L87*0.08</f>
        <v/>
      </c>
      <c r="O87" s="17">
        <f>-(K87*0.025+L87*0.025)</f>
        <v/>
      </c>
      <c r="P87" s="17">
        <f>32</f>
        <v/>
      </c>
      <c r="Q87" s="17">
        <f>J87+L87+N87+O87-P87-M87</f>
        <v/>
      </c>
    </row>
    <row r="88">
      <c r="A88" s="16" t="inlineStr">
        <is>
          <t>5.1-5.7</t>
        </is>
      </c>
      <c r="B88" s="16" t="inlineStr">
        <is>
          <t>PO-128-07714079867511541</t>
        </is>
      </c>
      <c r="C88" s="16" t="inlineStr">
        <is>
          <t>Delivered</t>
        </is>
      </c>
      <c r="D88" s="16" t="inlineStr">
        <is>
          <t>128-07714037924471541</t>
        </is>
      </c>
      <c r="E88" s="16" t="inlineStr">
        <is>
          <t>Delivered</t>
        </is>
      </c>
      <c r="F88" s="16" t="inlineStr">
        <is>
          <t>A500-N</t>
        </is>
      </c>
      <c r="G88" s="16" t="inlineStr">
        <is>
          <t>Bocina Bluetooth Portátil Barra de Sonido, Inalámbrica con FM Radio, TWS, USB/TF, Graves Potentes para Hogar y Exteriores</t>
        </is>
      </c>
      <c r="H88" s="16" t="inlineStr">
        <is>
          <t>NEGRO</t>
        </is>
      </c>
      <c r="I88" s="16" t="n">
        <v>1</v>
      </c>
      <c r="J88" s="17" t="n">
        <v>81</v>
      </c>
      <c r="K88" s="17" t="n">
        <v>93.84999999999999</v>
      </c>
      <c r="L88" s="17" t="n">
        <v>25.86</v>
      </c>
      <c r="M88" s="17" t="n">
        <v>28.15</v>
      </c>
      <c r="N88" s="17">
        <f>K88*0.08+L88*0.08</f>
        <v/>
      </c>
      <c r="O88" s="17">
        <f>-(K88*0.025+L88*0.025)</f>
        <v/>
      </c>
      <c r="P88" s="17">
        <f>32</f>
        <v/>
      </c>
      <c r="Q88" s="17">
        <f>J88+L88+N88+O88-P88-M88</f>
        <v/>
      </c>
    </row>
    <row r="89">
      <c r="A89" s="16" t="inlineStr">
        <is>
          <t>5.1-5.7</t>
        </is>
      </c>
      <c r="B89" s="16" t="inlineStr">
        <is>
          <t>PO-128-07656422349432013</t>
        </is>
      </c>
      <c r="C89" s="16" t="inlineStr">
        <is>
          <t>Delivered</t>
        </is>
      </c>
      <c r="D89" s="16" t="inlineStr">
        <is>
          <t>128-07656380406392013</t>
        </is>
      </c>
      <c r="E89" s="16" t="inlineStr">
        <is>
          <t>Delivered</t>
        </is>
      </c>
      <c r="F89" s="16" t="inlineStr">
        <is>
          <t>A500-N</t>
        </is>
      </c>
      <c r="G89" s="16" t="inlineStr">
        <is>
          <t>Bocina Bluetooth Portátil Barra de Sonido, Inalámbrica con FM Radio, TWS, USB/TF, Graves Potentes para Hogar y Exteriores</t>
        </is>
      </c>
      <c r="H89" s="16" t="inlineStr">
        <is>
          <t>NEGRO</t>
        </is>
      </c>
      <c r="I89" s="16" t="n">
        <v>1</v>
      </c>
      <c r="J89" s="17" t="n">
        <v>81</v>
      </c>
      <c r="K89" s="17" t="n">
        <v>93.84999999999999</v>
      </c>
      <c r="L89" s="17" t="n">
        <v>25.86</v>
      </c>
      <c r="M89" s="17" t="n">
        <v>0</v>
      </c>
      <c r="N89" s="17">
        <f>K89*0.08+L89*0.08</f>
        <v/>
      </c>
      <c r="O89" s="17">
        <f>-(K89*0.025+L89*0.025)</f>
        <v/>
      </c>
      <c r="P89" s="17">
        <f>32</f>
        <v/>
      </c>
      <c r="Q89" s="17">
        <f>J89+L89+N89+O89-P89-M89</f>
        <v/>
      </c>
    </row>
    <row r="90">
      <c r="A90" s="16" t="inlineStr">
        <is>
          <t>5.1-5.7</t>
        </is>
      </c>
      <c r="B90" s="16" t="inlineStr">
        <is>
          <t>PO-128-07731674972790410</t>
        </is>
      </c>
      <c r="C90" s="16" t="inlineStr">
        <is>
          <t>Delivered</t>
        </is>
      </c>
      <c r="D90" s="16" t="inlineStr">
        <is>
          <t>128-07731716915830410</t>
        </is>
      </c>
      <c r="E90" s="16" t="inlineStr">
        <is>
          <t>Delivered</t>
        </is>
      </c>
      <c r="F90" s="16" t="inlineStr">
        <is>
          <t>MB-185A</t>
        </is>
      </c>
      <c r="G90" s="16" t="inlineStr">
        <is>
          <t>Bocina Radio FM/Reproductor, Compatible con Tarjeta TF, USB, Bluetooth, Aplicable para celular, computadora, Ipad y consola</t>
        </is>
      </c>
      <c r="H90" s="16" t="inlineStr">
        <is>
          <t>AZUL/MB-185</t>
        </is>
      </c>
      <c r="I90" s="16" t="n">
        <v>1</v>
      </c>
      <c r="J90" s="17" t="n">
        <v>77.5</v>
      </c>
      <c r="K90" s="17" t="n">
        <v>7.69</v>
      </c>
      <c r="L90" s="17" t="n">
        <v>25.86</v>
      </c>
      <c r="M90" s="17" t="n">
        <v>0</v>
      </c>
      <c r="N90" s="17">
        <f>K90*0.08+L90*0.08</f>
        <v/>
      </c>
      <c r="O90" s="17">
        <f>-(K90*0.025+L90*0.025)</f>
        <v/>
      </c>
      <c r="P90" s="17">
        <f>32</f>
        <v/>
      </c>
      <c r="Q90" s="17">
        <f>J90+L90+N90+O90-P90-M90</f>
        <v/>
      </c>
    </row>
    <row r="91">
      <c r="A91" s="16" t="inlineStr">
        <is>
          <t>5.1-5.7</t>
        </is>
      </c>
      <c r="B91" s="16" t="inlineStr">
        <is>
          <t>PO-128-07798958961270011</t>
        </is>
      </c>
      <c r="C91" s="16" t="inlineStr">
        <is>
          <t>Delivered</t>
        </is>
      </c>
      <c r="D91" s="16" t="inlineStr">
        <is>
          <t>128-07798917018230011</t>
        </is>
      </c>
      <c r="E91" s="16" t="inlineStr">
        <is>
          <t>Delivered</t>
        </is>
      </c>
      <c r="F91" s="16" t="inlineStr">
        <is>
          <t>A500-N</t>
        </is>
      </c>
      <c r="G91" s="16" t="inlineStr">
        <is>
          <t>Bocina Bluetooth Portátil Barra de Sonido, Inalámbrica con FM Radio, TWS, USB/TF, Graves Potentes para Hogar y Exteriores</t>
        </is>
      </c>
      <c r="H91" s="16" t="inlineStr">
        <is>
          <t>NEGRO</t>
        </is>
      </c>
      <c r="I91" s="16" t="n">
        <v>1</v>
      </c>
      <c r="J91" s="17" t="n">
        <v>81</v>
      </c>
      <c r="K91" s="17" t="n">
        <v>93.84999999999999</v>
      </c>
      <c r="L91" s="17" t="n">
        <v>25.86</v>
      </c>
      <c r="M91" s="17" t="n">
        <v>0</v>
      </c>
      <c r="N91" s="17">
        <f>K91*0.08+L91*0.08</f>
        <v/>
      </c>
      <c r="O91" s="17">
        <f>-(K91*0.025+L91*0.025)</f>
        <v/>
      </c>
      <c r="P91" s="17">
        <f>32</f>
        <v/>
      </c>
      <c r="Q91" s="17">
        <f>J91+L91+N91+O91-P91-M91</f>
        <v/>
      </c>
    </row>
    <row r="92">
      <c r="A92" s="16" t="inlineStr">
        <is>
          <t>5.1-5.7</t>
        </is>
      </c>
      <c r="B92" s="16" t="inlineStr">
        <is>
          <t>PO-128-07815726869110103</t>
        </is>
      </c>
      <c r="C92" s="16" t="inlineStr">
        <is>
          <t>Delivered</t>
        </is>
      </c>
      <c r="D92" s="16" t="inlineStr">
        <is>
          <t>128-07815768812150103</t>
        </is>
      </c>
      <c r="E92" s="16" t="inlineStr">
        <is>
          <t>Delivered</t>
        </is>
      </c>
      <c r="F92" s="16" t="inlineStr">
        <is>
          <t>A500-N</t>
        </is>
      </c>
      <c r="G92" s="16" t="inlineStr">
        <is>
          <t>Bocina Bluetooth Portátil Barra de Sonido, Inalámbrica con FM Radio, TWS, USB/TF, Graves Potentes para Hogar y Exteriores</t>
        </is>
      </c>
      <c r="H92" s="16" t="inlineStr">
        <is>
          <t>NEGRO</t>
        </is>
      </c>
      <c r="I92" s="16" t="n">
        <v>1</v>
      </c>
      <c r="J92" s="17" t="n">
        <v>81</v>
      </c>
      <c r="K92" s="17" t="n">
        <v>11.09</v>
      </c>
      <c r="L92" s="17" t="n">
        <v>25.86</v>
      </c>
      <c r="M92" s="17" t="n">
        <v>0</v>
      </c>
      <c r="N92" s="17">
        <f>K92*0.08+L92*0.08</f>
        <v/>
      </c>
      <c r="O92" s="17">
        <f>-(K92*0.025+L92*0.025)</f>
        <v/>
      </c>
      <c r="P92" s="17">
        <f>32</f>
        <v/>
      </c>
      <c r="Q92" s="17">
        <f>J92+L92+N92+O92-P92-M92</f>
        <v/>
      </c>
    </row>
    <row r="93">
      <c r="A93" s="16" t="inlineStr">
        <is>
          <t>5.1-5.7</t>
        </is>
      </c>
      <c r="B93" s="16" t="inlineStr">
        <is>
          <t>PO-128-07815704719990103</t>
        </is>
      </c>
      <c r="C93" s="16" t="inlineStr">
        <is>
          <t>Delivered</t>
        </is>
      </c>
      <c r="D93" s="16" t="inlineStr">
        <is>
          <t>128-07815809577590103</t>
        </is>
      </c>
      <c r="E93" s="16" t="inlineStr">
        <is>
          <t>Delivered</t>
        </is>
      </c>
      <c r="F93" s="16" t="inlineStr">
        <is>
          <t>A500-R</t>
        </is>
      </c>
      <c r="G93" s="16" t="inlineStr">
        <is>
          <t>Bocina Bluetooth Portátil Barra de Sonido, Inalámbrica con FM Radio, TWS, USB/TF, Graves Potentes para Hogar y Exteriores</t>
        </is>
      </c>
      <c r="H93" s="16" t="inlineStr">
        <is>
          <t>ROIO</t>
        </is>
      </c>
      <c r="I93" s="16" t="n">
        <v>1</v>
      </c>
      <c r="J93" s="17" t="n">
        <v>78.98999999999999</v>
      </c>
      <c r="K93" s="17" t="n">
        <v>10.37</v>
      </c>
      <c r="L93" s="17" t="n">
        <v>25.86</v>
      </c>
      <c r="M93" s="17" t="n">
        <v>0</v>
      </c>
      <c r="N93" s="17">
        <f>K93*0.08+L93*0.08</f>
        <v/>
      </c>
      <c r="O93" s="17">
        <f>-(K93*0.025+L93*0.025)</f>
        <v/>
      </c>
      <c r="P93" s="17">
        <f>32</f>
        <v/>
      </c>
      <c r="Q93" s="17">
        <f>J93+L93+N93+O93-P93-M93</f>
        <v/>
      </c>
    </row>
    <row r="94">
      <c r="A94" s="16" t="inlineStr">
        <is>
          <t>5.1-5.7</t>
        </is>
      </c>
      <c r="B94" s="16" t="inlineStr">
        <is>
          <t>PO-128-08121220444792184</t>
        </is>
      </c>
      <c r="C94" s="16" t="inlineStr">
        <is>
          <t>Delivered</t>
        </is>
      </c>
      <c r="D94" s="16" t="inlineStr">
        <is>
          <t>128-08121241416312184</t>
        </is>
      </c>
      <c r="E94" s="16" t="inlineStr">
        <is>
          <t>Delivered</t>
        </is>
      </c>
      <c r="F94" s="16" t="inlineStr">
        <is>
          <t>A500-N</t>
        </is>
      </c>
      <c r="G94" s="16" t="inlineStr">
        <is>
          <t>Bocina Bluetooth Portátil Barra de Sonido, Inalámbrica con FM Radio, TWS, USB/TF, Graves Potentes para Hogar y Exteriores</t>
        </is>
      </c>
      <c r="H94" s="16" t="inlineStr">
        <is>
          <t>NEGRO</t>
        </is>
      </c>
      <c r="I94" s="16" t="n">
        <v>1</v>
      </c>
      <c r="J94" s="17" t="n">
        <v>81</v>
      </c>
      <c r="K94" s="17" t="n">
        <v>79.78</v>
      </c>
      <c r="L94" s="17" t="n">
        <v>25.86</v>
      </c>
      <c r="M94" s="17" t="n">
        <v>0</v>
      </c>
      <c r="N94" s="17">
        <f>K94*0.08+L94*0.08</f>
        <v/>
      </c>
      <c r="O94" s="17">
        <f>-(K94*0.025+L94*0.025)</f>
        <v/>
      </c>
      <c r="P94" s="17">
        <f>32</f>
        <v/>
      </c>
      <c r="Q94" s="17">
        <f>J94+L94+N94+O94-P94-M94</f>
        <v/>
      </c>
    </row>
    <row r="95">
      <c r="A95" s="16" t="inlineStr">
        <is>
          <t>5.1-5.7</t>
        </is>
      </c>
      <c r="B95" s="16" t="inlineStr">
        <is>
          <t>PO-128-07847452007030808</t>
        </is>
      </c>
      <c r="C95" s="16" t="inlineStr">
        <is>
          <t>Delivered</t>
        </is>
      </c>
      <c r="D95" s="16" t="inlineStr">
        <is>
          <t>128-07847433656950808</t>
        </is>
      </c>
      <c r="E95" s="16" t="inlineStr">
        <is>
          <t>Delivered</t>
        </is>
      </c>
      <c r="F95" s="16" t="inlineStr">
        <is>
          <t>A500-A</t>
        </is>
      </c>
      <c r="G95" s="16" t="inlineStr">
        <is>
          <t>Bocina Bluetooth Portátil Barra de Sonido, Inalámbrica con FM Radio, TWS, USB/TF, Graves Potentes para Hogar y Exteriores</t>
        </is>
      </c>
      <c r="H95" s="16" t="inlineStr">
        <is>
          <t>AZUL</t>
        </is>
      </c>
      <c r="I95" s="16" t="n">
        <v>1</v>
      </c>
      <c r="J95" s="17" t="n">
        <v>80</v>
      </c>
      <c r="K95" s="17" t="n">
        <v>90.48</v>
      </c>
      <c r="L95" s="17" t="n">
        <v>25.86</v>
      </c>
      <c r="M95" s="17" t="n">
        <v>0</v>
      </c>
      <c r="N95" s="17">
        <f>K95*0.08+L95*0.08</f>
        <v/>
      </c>
      <c r="O95" s="17">
        <f>-(K95*0.025+L95*0.025)</f>
        <v/>
      </c>
      <c r="P95" s="17">
        <f>32</f>
        <v/>
      </c>
      <c r="Q95" s="17">
        <f>J95+L95+N95+O95-P95-M95</f>
        <v/>
      </c>
    </row>
    <row r="96">
      <c r="A96" s="16" t="inlineStr">
        <is>
          <t>5.1-5.7</t>
        </is>
      </c>
      <c r="B96" s="16" t="inlineStr">
        <is>
          <t>PO-128-07942763295353440</t>
        </is>
      </c>
      <c r="C96" s="16" t="inlineStr">
        <is>
          <t>Delivered</t>
        </is>
      </c>
      <c r="D96" s="16" t="inlineStr">
        <is>
          <t>128-07942726595193440</t>
        </is>
      </c>
      <c r="E96" s="16" t="inlineStr">
        <is>
          <t>Delivered</t>
        </is>
      </c>
      <c r="F96" s="16" t="inlineStr">
        <is>
          <t>A500-N</t>
        </is>
      </c>
      <c r="G96" s="16" t="inlineStr">
        <is>
          <t>Bocina Bluetooth Portátil Barra de Sonido, Inalámbrica con FM Radio, TWS, USB/TF, Graves Potentes para Hogar y Exteriores</t>
        </is>
      </c>
      <c r="H96" s="16" t="inlineStr">
        <is>
          <t>NEGRO</t>
        </is>
      </c>
      <c r="I96" s="16" t="n">
        <v>2</v>
      </c>
      <c r="J96" s="17" t="n">
        <v>162</v>
      </c>
      <c r="K96" s="17" t="n">
        <v>123.06</v>
      </c>
      <c r="L96" s="17" t="n">
        <v>0</v>
      </c>
      <c r="M96" s="17" t="n">
        <v>2.64</v>
      </c>
      <c r="N96" s="17">
        <f>K96*0.08+L96*0.08</f>
        <v/>
      </c>
      <c r="O96" s="17">
        <f>-(K96*0.025+L96*0.025)</f>
        <v/>
      </c>
      <c r="P96" s="17">
        <f>32</f>
        <v/>
      </c>
      <c r="Q96" s="17">
        <f>J96+L96+N96+O96-P96-M96</f>
        <v/>
      </c>
    </row>
    <row r="97">
      <c r="A97" s="16" t="inlineStr">
        <is>
          <t>5.1-5.7</t>
        </is>
      </c>
      <c r="B97" s="16" t="inlineStr">
        <is>
          <t>PO-128-07942763295353440</t>
        </is>
      </c>
      <c r="C97" s="16" t="inlineStr">
        <is>
          <t>Delivered</t>
        </is>
      </c>
      <c r="D97" s="16" t="inlineStr">
        <is>
          <t>128-07942716109433440</t>
        </is>
      </c>
      <c r="E97" s="16" t="inlineStr">
        <is>
          <t>Delivered</t>
        </is>
      </c>
      <c r="F97" s="16" t="inlineStr">
        <is>
          <t>A500-A</t>
        </is>
      </c>
      <c r="G97" s="16" t="inlineStr">
        <is>
          <t>Bocina Bluetooth Portátil Barra de Sonido, Inalámbrica con FM Radio, TWS, USB/TF, Graves Potentes para Hogar y Exteriores</t>
        </is>
      </c>
      <c r="H97" s="16" t="inlineStr">
        <is>
          <t>AZUL</t>
        </is>
      </c>
      <c r="I97" s="16" t="n">
        <v>1</v>
      </c>
      <c r="J97" s="17" t="n">
        <v>80</v>
      </c>
      <c r="K97" s="17" t="n">
        <v>59.31</v>
      </c>
      <c r="L97" s="17" t="n">
        <v>0</v>
      </c>
      <c r="M97" s="17" t="n">
        <v>5.25</v>
      </c>
      <c r="N97" s="17">
        <f>K97*0.08+L97*0.08</f>
        <v/>
      </c>
      <c r="O97" s="17">
        <f>-(K97*0.025+L97*0.025)</f>
        <v/>
      </c>
      <c r="P97" s="17">
        <f>32</f>
        <v/>
      </c>
      <c r="Q97" s="17">
        <f>J97+L97+N97+O97-P97-M97</f>
        <v/>
      </c>
    </row>
    <row r="98">
      <c r="A98" s="16" t="inlineStr">
        <is>
          <t>5.1-5.7</t>
        </is>
      </c>
      <c r="B98" s="16" t="inlineStr">
        <is>
          <t>PO-128-07921941750393564</t>
        </is>
      </c>
      <c r="C98" s="16" t="inlineStr">
        <is>
          <t>Delivered</t>
        </is>
      </c>
      <c r="D98" s="16" t="inlineStr">
        <is>
          <t>128-07921899807353564</t>
        </is>
      </c>
      <c r="E98" s="16" t="inlineStr">
        <is>
          <t>Delivered</t>
        </is>
      </c>
      <c r="F98" s="16" t="inlineStr">
        <is>
          <t>A500-A</t>
        </is>
      </c>
      <c r="G98" s="16" t="inlineStr">
        <is>
          <t>Bocina Bluetooth Portátil Barra de Sonido, Inalámbrica con FM Radio, TWS, USB/TF, Graves Potentes para Hogar y Exteriores</t>
        </is>
      </c>
      <c r="H98" s="16" t="inlineStr">
        <is>
          <t>AZUL</t>
        </is>
      </c>
      <c r="I98" s="16" t="n">
        <v>1</v>
      </c>
      <c r="J98" s="17" t="n">
        <v>80</v>
      </c>
      <c r="K98" s="17" t="n">
        <v>86.63</v>
      </c>
      <c r="L98" s="17" t="n">
        <v>25.86</v>
      </c>
      <c r="M98" s="17" t="n">
        <v>0</v>
      </c>
      <c r="N98" s="17">
        <f>K98*0.08+L98*0.08</f>
        <v/>
      </c>
      <c r="O98" s="17">
        <f>-(K98*0.025+L98*0.025)</f>
        <v/>
      </c>
      <c r="P98" s="17">
        <f>32</f>
        <v/>
      </c>
      <c r="Q98" s="17">
        <f>J98+L98+N98+O98-P98-M98</f>
        <v/>
      </c>
    </row>
    <row r="99">
      <c r="A99" s="16" t="inlineStr">
        <is>
          <t>5.1-5.7</t>
        </is>
      </c>
      <c r="B99" s="16" t="inlineStr">
        <is>
          <t>PO-128-07860178125430668</t>
        </is>
      </c>
      <c r="C99" s="16" t="inlineStr">
        <is>
          <t>Delivered</t>
        </is>
      </c>
      <c r="D99" s="16" t="inlineStr">
        <is>
          <t>128-07860146668150668</t>
        </is>
      </c>
      <c r="E99" s="16" t="inlineStr">
        <is>
          <t>Delivered</t>
        </is>
      </c>
      <c r="F99" s="16" t="inlineStr">
        <is>
          <t>A500-A</t>
        </is>
      </c>
      <c r="G99" s="16" t="inlineStr">
        <is>
          <t>Bocina Bluetooth Portátil Barra de Sonido, Inalámbrica con FM Radio, TWS, USB/TF, Graves Potentes para Hogar y Exteriores</t>
        </is>
      </c>
      <c r="H99" s="16" t="inlineStr">
        <is>
          <t>AZUL</t>
        </is>
      </c>
      <c r="I99" s="16" t="n">
        <v>1</v>
      </c>
      <c r="J99" s="17" t="n">
        <v>80</v>
      </c>
      <c r="K99" s="17" t="n">
        <v>75.68000000000001</v>
      </c>
      <c r="L99" s="17" t="n">
        <v>25.86</v>
      </c>
      <c r="M99" s="17" t="n">
        <v>0</v>
      </c>
      <c r="N99" s="17">
        <f>K99*0.08+L99*0.08</f>
        <v/>
      </c>
      <c r="O99" s="17">
        <f>-(K99*0.025+L99*0.025)</f>
        <v/>
      </c>
      <c r="P99" s="17">
        <f>32</f>
        <v/>
      </c>
      <c r="Q99" s="17">
        <f>J99+L99+N99+O99-P99-M99</f>
        <v/>
      </c>
    </row>
    <row r="100">
      <c r="A100" s="16" t="inlineStr">
        <is>
          <t>5.15-5.21</t>
        </is>
      </c>
      <c r="B100" s="16" t="inlineStr">
        <is>
          <t>PO-128-20305759375991369</t>
        </is>
      </c>
      <c r="C100" s="16" t="inlineStr">
        <is>
          <t>Shipped</t>
        </is>
      </c>
      <c r="D100" s="16" t="inlineStr">
        <is>
          <t>128-20305717432951369</t>
        </is>
      </c>
      <c r="E100" s="16" t="inlineStr">
        <is>
          <t>Shipped</t>
        </is>
      </c>
      <c r="F100" s="16" t="inlineStr">
        <is>
          <t>A500-N</t>
        </is>
      </c>
      <c r="G100" s="16" t="inlineStr">
        <is>
          <t>Bocina Bluetooth Portátil Barra de Sonido, Inalámbrica con FM Radio, TWS, USB/TF, Graves Potentes para Hogar y Exteriores</t>
        </is>
      </c>
      <c r="H100" s="16" t="inlineStr">
        <is>
          <t>NEGRO</t>
        </is>
      </c>
      <c r="I100" s="16" t="n">
        <v>1</v>
      </c>
      <c r="J100" s="17" t="n">
        <v>77.22</v>
      </c>
      <c r="K100" s="17" t="n">
        <v>90.06999999999999</v>
      </c>
      <c r="L100" s="17" t="n">
        <v>25.86</v>
      </c>
      <c r="M100" s="17" t="n">
        <v>0</v>
      </c>
      <c r="N100" s="17">
        <f>K100*0.08+L100*0.08</f>
        <v/>
      </c>
      <c r="O100" s="17">
        <f>-(K100*0.025+L100*0.025)</f>
        <v/>
      </c>
      <c r="P100" s="17">
        <f>32</f>
        <v/>
      </c>
      <c r="Q100" s="17">
        <f>J100+L100+N100+O100-P100-M100</f>
        <v/>
      </c>
    </row>
    <row r="101">
      <c r="A101" s="16" t="inlineStr">
        <is>
          <t>5.15-5.21</t>
        </is>
      </c>
      <c r="B101" s="16" t="inlineStr">
        <is>
          <t>PO-128-20029043405434040</t>
        </is>
      </c>
      <c r="C101" s="16" t="inlineStr">
        <is>
          <t>Delivered</t>
        </is>
      </c>
      <c r="D101" s="16" t="inlineStr">
        <is>
          <t>128-20029056512634040</t>
        </is>
      </c>
      <c r="E101" s="16" t="inlineStr">
        <is>
          <t>Delivered</t>
        </is>
      </c>
      <c r="F101" s="16" t="inlineStr">
        <is>
          <t>A500-N</t>
        </is>
      </c>
      <c r="G101" s="16" t="inlineStr">
        <is>
          <t>Bocina Bluetooth Portátil Barra de Sonido, Inalámbrica con FM Radio, TWS, USB/TF, Graves Potentes para Hogar y Exteriores</t>
        </is>
      </c>
      <c r="H101" s="16" t="inlineStr">
        <is>
          <t>NEGRO</t>
        </is>
      </c>
      <c r="I101" s="16" t="n">
        <v>1</v>
      </c>
      <c r="J101" s="17" t="n">
        <v>77.22</v>
      </c>
      <c r="K101" s="17" t="n">
        <v>90.06999999999999</v>
      </c>
      <c r="L101" s="17" t="n">
        <v>25.86</v>
      </c>
      <c r="M101" s="17" t="n">
        <v>0</v>
      </c>
      <c r="N101" s="17">
        <f>K101*0.08+L101*0.08</f>
        <v/>
      </c>
      <c r="O101" s="17">
        <f>-(K101*0.025+L101*0.025)</f>
        <v/>
      </c>
      <c r="P101" s="17">
        <f>32</f>
        <v/>
      </c>
      <c r="Q101" s="17">
        <f>J101+L101+N101+O101-P101-M101</f>
        <v/>
      </c>
    </row>
    <row r="102">
      <c r="A102" s="16" t="inlineStr">
        <is>
          <t>5.15-5.21</t>
        </is>
      </c>
      <c r="B102" s="16" t="inlineStr">
        <is>
          <t>PO-128-20106226273912492</t>
        </is>
      </c>
      <c r="C102" s="16" t="inlineStr">
        <is>
          <t>Delivered</t>
        </is>
      </c>
      <c r="D102" s="16" t="inlineStr">
        <is>
          <t>128-20106205302392492</t>
        </is>
      </c>
      <c r="E102" s="16" t="inlineStr">
        <is>
          <t>Delivered</t>
        </is>
      </c>
      <c r="F102" s="16" t="inlineStr">
        <is>
          <t>SA320T-P</t>
        </is>
      </c>
      <c r="G102" s="16" t="inlineStr">
        <is>
          <t>Altavoz inalámbrico portátil con Luces RGB, Radio FM y Manija - 5h Duración, TWS, TF Card, Compacto y Recargable via USB，Perfecto para viajes, fiestas y gaming</t>
        </is>
      </c>
      <c r="H102" s="16" t="inlineStr">
        <is>
          <t>rosa</t>
        </is>
      </c>
      <c r="I102" s="16" t="n">
        <v>25</v>
      </c>
      <c r="J102" s="17" t="n">
        <v>1550</v>
      </c>
      <c r="K102" s="17" t="n">
        <v>1818</v>
      </c>
      <c r="L102" s="17" t="n">
        <v>0</v>
      </c>
      <c r="M102" s="17" t="n">
        <v>0</v>
      </c>
      <c r="N102" s="17">
        <f>K102*0.08+L102*0.08</f>
        <v/>
      </c>
      <c r="O102" s="17">
        <f>-(K102*0.025+L102*0.025)</f>
        <v/>
      </c>
      <c r="P102" s="17">
        <f>32</f>
        <v/>
      </c>
      <c r="Q102" s="17">
        <f>J102+L102+N102+O102-P102-M102</f>
        <v/>
      </c>
    </row>
    <row r="103">
      <c r="A103" s="16" t="inlineStr">
        <is>
          <t>5.15-5.21</t>
        </is>
      </c>
      <c r="B103" s="16" t="inlineStr">
        <is>
          <t>PO-128-20136441938552376</t>
        </is>
      </c>
      <c r="C103" s="16" t="inlineStr">
        <is>
          <t>Delivered</t>
        </is>
      </c>
      <c r="D103" s="16" t="inlineStr">
        <is>
          <t>128-20136510095992376</t>
        </is>
      </c>
      <c r="E103" s="16" t="inlineStr">
        <is>
          <t>Delivered</t>
        </is>
      </c>
      <c r="F103" s="16" t="inlineStr">
        <is>
          <t>A500-N</t>
        </is>
      </c>
      <c r="G103" s="16" t="inlineStr">
        <is>
          <t>Bocina Bluetooth Portátil Barra de Sonido, Inalámbrica con FM Radio, TWS, USB/TF, Graves Potentes para Hogar y Exteriores</t>
        </is>
      </c>
      <c r="H103" s="16" t="inlineStr">
        <is>
          <t>NEGRO</t>
        </is>
      </c>
      <c r="I103" s="16" t="n">
        <v>1</v>
      </c>
      <c r="J103" s="17" t="n">
        <v>77.22</v>
      </c>
      <c r="K103" s="17" t="n">
        <v>3.86</v>
      </c>
      <c r="L103" s="17" t="n">
        <v>25.86</v>
      </c>
      <c r="M103" s="17" t="n">
        <v>0</v>
      </c>
      <c r="N103" s="17">
        <f>K103*0.08+L103*0.08</f>
        <v/>
      </c>
      <c r="O103" s="17">
        <f>-(K103*0.025+L103*0.025)</f>
        <v/>
      </c>
      <c r="P103" s="17">
        <f>32</f>
        <v/>
      </c>
      <c r="Q103" s="17">
        <f>J103+L103+N103+O103-P103-M103</f>
        <v/>
      </c>
    </row>
    <row r="104">
      <c r="A104" s="16" t="inlineStr">
        <is>
          <t>5.15-5.21</t>
        </is>
      </c>
      <c r="B104" s="16" t="inlineStr">
        <is>
          <t>PO-128-20443567811191635</t>
        </is>
      </c>
      <c r="C104" s="16" t="inlineStr">
        <is>
          <t>Delivered</t>
        </is>
      </c>
      <c r="D104" s="16" t="inlineStr">
        <is>
          <t>128-20443672668791635</t>
        </is>
      </c>
      <c r="E104" s="16" t="inlineStr">
        <is>
          <t>Delivered</t>
        </is>
      </c>
      <c r="F104" s="16" t="inlineStr">
        <is>
          <t>A500-N</t>
        </is>
      </c>
      <c r="G104" s="16" t="inlineStr">
        <is>
          <t>Bocina Bluetooth Portátil Barra de Sonido, Inalámbrica con FM Radio, TWS, USB/TF, Graves Potentes para Hogar y Exteriores</t>
        </is>
      </c>
      <c r="H104" s="16" t="inlineStr">
        <is>
          <t>NEGRO</t>
        </is>
      </c>
      <c r="I104" s="16" t="n">
        <v>1</v>
      </c>
      <c r="J104" s="17" t="n">
        <v>77.22</v>
      </c>
      <c r="K104" s="17" t="n">
        <v>90.06999999999999</v>
      </c>
      <c r="L104" s="17" t="n">
        <v>25.86</v>
      </c>
      <c r="M104" s="17" t="n">
        <v>0</v>
      </c>
      <c r="N104" s="17">
        <f>K104*0.08+L104*0.08</f>
        <v/>
      </c>
      <c r="O104" s="17">
        <f>-(K104*0.025+L104*0.025)</f>
        <v/>
      </c>
      <c r="P104" s="17">
        <f>32</f>
        <v/>
      </c>
      <c r="Q104" s="17">
        <f>J104+L104+N104+O104-P104-M104</f>
        <v/>
      </c>
    </row>
    <row r="105">
      <c r="A105" s="16" t="inlineStr">
        <is>
          <t>5.15-5.21</t>
        </is>
      </c>
      <c r="B105" s="16" t="inlineStr">
        <is>
          <t>PO-128-09404072996471898</t>
        </is>
      </c>
      <c r="C105" s="16" t="inlineStr">
        <is>
          <t>Delivered</t>
        </is>
      </c>
      <c r="D105" s="16" t="inlineStr">
        <is>
          <t>128-09404093967991898</t>
        </is>
      </c>
      <c r="E105" s="16" t="inlineStr">
        <is>
          <t>Delivered</t>
        </is>
      </c>
      <c r="F105" s="16" t="inlineStr">
        <is>
          <t>A500-N</t>
        </is>
      </c>
      <c r="G105" s="16" t="inlineStr">
        <is>
          <t>Bocina Bluetooth Portátil Barra de Sonido, Inalámbrica con FM Radio, TWS, USB/TF, Graves Potentes para Hogar y Exteriores</t>
        </is>
      </c>
      <c r="H105" s="16" t="inlineStr">
        <is>
          <t>NEGRO</t>
        </is>
      </c>
      <c r="I105" s="16" t="n">
        <v>1</v>
      </c>
      <c r="J105" s="17" t="n">
        <v>77.22</v>
      </c>
      <c r="K105" s="17" t="n">
        <v>63.97</v>
      </c>
      <c r="L105" s="17" t="n">
        <v>25.86</v>
      </c>
      <c r="M105" s="17" t="n">
        <v>0</v>
      </c>
      <c r="N105" s="17">
        <f>K105*0.08+L105*0.08</f>
        <v/>
      </c>
      <c r="O105" s="17">
        <f>-(K105*0.025+L105*0.025)</f>
        <v/>
      </c>
      <c r="P105" s="17">
        <f>32</f>
        <v/>
      </c>
      <c r="Q105" s="17">
        <f>J105+L105+N105+O105-P105-M105</f>
        <v/>
      </c>
    </row>
    <row r="106">
      <c r="A106" s="16" t="inlineStr">
        <is>
          <t>5.15-5.21</t>
        </is>
      </c>
      <c r="B106" s="16" t="inlineStr">
        <is>
          <t>PO-128-08966745498233419</t>
        </is>
      </c>
      <c r="C106" s="16" t="inlineStr">
        <is>
          <t>Delivered</t>
        </is>
      </c>
      <c r="D106" s="16" t="inlineStr">
        <is>
          <t>128-08966703555193419</t>
        </is>
      </c>
      <c r="E106" s="16" t="inlineStr">
        <is>
          <t>Delivered</t>
        </is>
      </c>
      <c r="F106" s="16" t="inlineStr">
        <is>
          <t>A500-R</t>
        </is>
      </c>
      <c r="G106" s="16" t="inlineStr">
        <is>
          <t>Bocina Bluetooth Portátil Barra de Sonido, Inalámbrica con FM Radio, TWS, USB/TF, Graves Potentes para Hogar y Exteriores</t>
        </is>
      </c>
      <c r="H106" s="16" t="inlineStr">
        <is>
          <t>ROIO</t>
        </is>
      </c>
      <c r="I106" s="16" t="n">
        <v>1</v>
      </c>
      <c r="J106" s="17" t="n">
        <v>80</v>
      </c>
      <c r="K106" s="17" t="n">
        <v>7.72</v>
      </c>
      <c r="L106" s="17" t="n">
        <v>25.86</v>
      </c>
      <c r="M106" s="17" t="n">
        <v>0</v>
      </c>
      <c r="N106" s="17">
        <f>K106*0.08+L106*0.08</f>
        <v/>
      </c>
      <c r="O106" s="17">
        <f>-(K106*0.025+L106*0.025)</f>
        <v/>
      </c>
      <c r="P106" s="17">
        <f>32</f>
        <v/>
      </c>
      <c r="Q106" s="17">
        <f>J106+L106+N106+O106-P106-M106</f>
        <v/>
      </c>
    </row>
    <row r="107">
      <c r="A107" s="16" t="inlineStr">
        <is>
          <t>5.15-5.21</t>
        </is>
      </c>
      <c r="B107" s="16" t="inlineStr">
        <is>
          <t>PO-128-08966677545593419</t>
        </is>
      </c>
      <c r="C107" s="16" t="inlineStr">
        <is>
          <t>Delivered</t>
        </is>
      </c>
      <c r="D107" s="16" t="inlineStr">
        <is>
          <t>128-08966729974393419</t>
        </is>
      </c>
      <c r="E107" s="16" t="inlineStr">
        <is>
          <t>Delivered</t>
        </is>
      </c>
      <c r="F107" s="16" t="inlineStr">
        <is>
          <t>A500-N</t>
        </is>
      </c>
      <c r="G107" s="16" t="inlineStr">
        <is>
          <t>Bocina Bluetooth Portátil Barra de Sonido, Inalámbrica con FM Radio, TWS, USB/TF, Graves Potentes para Hogar y Exteriores</t>
        </is>
      </c>
      <c r="H107" s="16" t="inlineStr">
        <is>
          <t>NEGRO</t>
        </is>
      </c>
      <c r="I107" s="16" t="n">
        <v>1</v>
      </c>
      <c r="J107" s="17" t="n">
        <v>77.22</v>
      </c>
      <c r="K107" s="17" t="n">
        <v>7.31</v>
      </c>
      <c r="L107" s="17" t="n">
        <v>25.86</v>
      </c>
      <c r="M107" s="17" t="n">
        <v>0</v>
      </c>
      <c r="N107" s="17">
        <f>K107*0.08+L107*0.08</f>
        <v/>
      </c>
      <c r="O107" s="17">
        <f>-(K107*0.025+L107*0.025)</f>
        <v/>
      </c>
      <c r="P107" s="17">
        <f>32</f>
        <v/>
      </c>
      <c r="Q107" s="17">
        <f>J107+L107+N107+O107-P107-M107</f>
        <v/>
      </c>
    </row>
    <row r="108">
      <c r="A108" s="16" t="inlineStr">
        <is>
          <t>5.15-5.21</t>
        </is>
      </c>
      <c r="B108" s="16" t="inlineStr">
        <is>
          <t>PO-128-09184207780472120</t>
        </is>
      </c>
      <c r="C108" s="16" t="inlineStr">
        <is>
          <t>Delivered</t>
        </is>
      </c>
      <c r="D108" s="16" t="inlineStr">
        <is>
          <t>128-09184186808952120</t>
        </is>
      </c>
      <c r="E108" s="16" t="inlineStr">
        <is>
          <t>Delivered</t>
        </is>
      </c>
      <c r="F108" s="16" t="inlineStr">
        <is>
          <t>MB-183N</t>
        </is>
      </c>
      <c r="G108" s="16" t="inlineStr">
        <is>
          <t>Linkbits Altavoz Bluetooth Portátil con Stereo Inalámbrico TWS Impermeable y a Prueba de Polvo IP65 Altavoz de Graves de Rango Completo de 52mm con Doble Unidad Ligero de 215g para Camping Senderismo y Fiestas al Aire Libre</t>
        </is>
      </c>
      <c r="H108" s="16" t="inlineStr">
        <is>
          <t>NEGRO/MB-183</t>
        </is>
      </c>
      <c r="I108" s="16" t="n">
        <v>1</v>
      </c>
      <c r="J108" s="17" t="n">
        <v>95</v>
      </c>
      <c r="K108" s="17" t="n">
        <v>112.38</v>
      </c>
      <c r="L108" s="17" t="n">
        <v>25.86</v>
      </c>
      <c r="M108" s="17" t="n">
        <v>0</v>
      </c>
      <c r="N108" s="17">
        <f>K108*0.08+L108*0.08</f>
        <v/>
      </c>
      <c r="O108" s="17">
        <f>-(K108*0.025+L108*0.025)</f>
        <v/>
      </c>
      <c r="P108" s="17">
        <f>32</f>
        <v/>
      </c>
      <c r="Q108" s="17">
        <f>J108+L108+N108+O108-P108-M108</f>
        <v/>
      </c>
    </row>
    <row r="109">
      <c r="A109" s="16" t="inlineStr">
        <is>
          <t>5.15-5.21</t>
        </is>
      </c>
      <c r="B109" s="16" t="inlineStr">
        <is>
          <t>PO-128-09543146199670943</t>
        </is>
      </c>
      <c r="C109" s="16" t="inlineStr">
        <is>
          <t>Delivered</t>
        </is>
      </c>
      <c r="D109" s="16" t="inlineStr">
        <is>
          <t>128-09543198628470943</t>
        </is>
      </c>
      <c r="E109" s="16" t="inlineStr">
        <is>
          <t>Delivered</t>
        </is>
      </c>
      <c r="F109" s="16" t="inlineStr">
        <is>
          <t>A500-A</t>
        </is>
      </c>
      <c r="G109" s="16" t="inlineStr">
        <is>
          <t>Bocina Bluetooth Portátil Barra de Sonido, Inalámbrica con FM Radio, TWS, USB/TF, Graves Potentes para Hogar y Exteriores</t>
        </is>
      </c>
      <c r="H109" s="16" t="inlineStr">
        <is>
          <t>AZUL</t>
        </is>
      </c>
      <c r="I109" s="16" t="n">
        <v>1</v>
      </c>
      <c r="J109" s="17" t="n">
        <v>78.88</v>
      </c>
      <c r="K109" s="17" t="n">
        <v>89.36</v>
      </c>
      <c r="L109" s="17" t="n">
        <v>25.86</v>
      </c>
      <c r="M109" s="17" t="n">
        <v>0</v>
      </c>
      <c r="N109" s="17">
        <f>K109*0.08+L109*0.08</f>
        <v/>
      </c>
      <c r="O109" s="17">
        <f>-(K109*0.025+L109*0.025)</f>
        <v/>
      </c>
      <c r="P109" s="17">
        <f>32</f>
        <v/>
      </c>
      <c r="Q109" s="17">
        <f>J109+L109+N109+O109-P109-M109</f>
        <v/>
      </c>
    </row>
    <row r="110">
      <c r="A110" s="16" t="inlineStr">
        <is>
          <t>5.15-5.21</t>
        </is>
      </c>
      <c r="B110" s="16" t="inlineStr">
        <is>
          <t>PO-128-09178085438072095</t>
        </is>
      </c>
      <c r="C110" s="16" t="inlineStr">
        <is>
          <t>Delivered</t>
        </is>
      </c>
      <c r="D110" s="16" t="inlineStr">
        <is>
          <t>128-09178106409592095</t>
        </is>
      </c>
      <c r="E110" s="16" t="inlineStr">
        <is>
          <t>Delivered</t>
        </is>
      </c>
      <c r="F110" s="16" t="inlineStr">
        <is>
          <t>A500-N</t>
        </is>
      </c>
      <c r="G110" s="16" t="inlineStr">
        <is>
          <t>Bocina Bluetooth Portátil Barra de Sonido, Inalámbrica con FM Radio, TWS, USB/TF, Graves Potentes para Hogar y Exteriores</t>
        </is>
      </c>
      <c r="H110" s="16" t="inlineStr">
        <is>
          <t>NEGRO</t>
        </is>
      </c>
      <c r="I110" s="16" t="n">
        <v>1</v>
      </c>
      <c r="J110" s="17" t="n">
        <v>77.22</v>
      </c>
      <c r="K110" s="17" t="n">
        <v>7.31</v>
      </c>
      <c r="L110" s="17" t="n">
        <v>25.86</v>
      </c>
      <c r="M110" s="17" t="n">
        <v>0</v>
      </c>
      <c r="N110" s="17">
        <f>K110*0.08+L110*0.08</f>
        <v/>
      </c>
      <c r="O110" s="17">
        <f>-(K110*0.025+L110*0.025)</f>
        <v/>
      </c>
      <c r="P110" s="17">
        <f>32</f>
        <v/>
      </c>
      <c r="Q110" s="17">
        <f>J110+L110+N110+O110-P110-M110</f>
        <v/>
      </c>
    </row>
    <row r="111">
      <c r="A111" s="16" t="inlineStr">
        <is>
          <t>5.15-5.21</t>
        </is>
      </c>
      <c r="B111" s="16" t="inlineStr">
        <is>
          <t>PO-128-09502732928630222</t>
        </is>
      </c>
      <c r="C111" s="16" t="inlineStr">
        <is>
          <t>Delivered</t>
        </is>
      </c>
      <c r="D111" s="16" t="inlineStr">
        <is>
          <t>128-09502764385910222</t>
        </is>
      </c>
      <c r="E111" s="16" t="inlineStr">
        <is>
          <t>Delivered</t>
        </is>
      </c>
      <c r="F111" s="16" t="inlineStr">
        <is>
          <t>A500-N</t>
        </is>
      </c>
      <c r="G111" s="16" t="inlineStr">
        <is>
          <t>Bocina Bluetooth Portátil Barra de Sonido, Inalámbrica con FM Radio, TWS, USB/TF, Graves Potentes para Hogar y Exteriores</t>
        </is>
      </c>
      <c r="H111" s="16" t="inlineStr">
        <is>
          <t>NEGRO</t>
        </is>
      </c>
      <c r="I111" s="16" t="n">
        <v>1</v>
      </c>
      <c r="J111" s="17" t="n">
        <v>77.22</v>
      </c>
      <c r="K111" s="17" t="n">
        <v>90.06999999999999</v>
      </c>
      <c r="L111" s="17" t="n">
        <v>25.86</v>
      </c>
      <c r="M111" s="17" t="n">
        <v>0</v>
      </c>
      <c r="N111" s="17">
        <f>K111*0.08+L111*0.08</f>
        <v/>
      </c>
      <c r="O111" s="17">
        <f>-(K111*0.025+L111*0.025)</f>
        <v/>
      </c>
      <c r="P111" s="17">
        <f>32</f>
        <v/>
      </c>
      <c r="Q111" s="17">
        <f>J111+L111+N111+O111-P111-M111</f>
        <v/>
      </c>
    </row>
    <row r="112">
      <c r="A112" s="16" t="inlineStr">
        <is>
          <t>5.15-5.21</t>
        </is>
      </c>
      <c r="B112" s="16" t="inlineStr">
        <is>
          <t>PO-128-09251232031352811</t>
        </is>
      </c>
      <c r="C112" s="16" t="inlineStr">
        <is>
          <t>Delivered</t>
        </is>
      </c>
      <c r="D112" s="16" t="inlineStr">
        <is>
          <t>128-09251253002872811</t>
        </is>
      </c>
      <c r="E112" s="16" t="inlineStr">
        <is>
          <t>Delivered</t>
        </is>
      </c>
      <c r="F112" s="16" t="inlineStr">
        <is>
          <t>A500-N</t>
        </is>
      </c>
      <c r="G112" s="16" t="inlineStr">
        <is>
          <t>Bocina Bluetooth Portátil Barra de Sonido, Inalámbrica con FM Radio, TWS, USB/TF, Graves Potentes para Hogar y Exteriores</t>
        </is>
      </c>
      <c r="H112" s="16" t="inlineStr">
        <is>
          <t>NEGRO</t>
        </is>
      </c>
      <c r="I112" s="16" t="n">
        <v>1</v>
      </c>
      <c r="J112" s="17" t="n">
        <v>77.22</v>
      </c>
      <c r="K112" s="17" t="n">
        <v>90.06999999999999</v>
      </c>
      <c r="L112" s="17" t="n">
        <v>25.86</v>
      </c>
      <c r="M112" s="17" t="n">
        <v>0</v>
      </c>
      <c r="N112" s="17">
        <f>K112*0.08+L112*0.08</f>
        <v/>
      </c>
      <c r="O112" s="17">
        <f>-(K112*0.025+L112*0.025)</f>
        <v/>
      </c>
      <c r="P112" s="17">
        <f>32</f>
        <v/>
      </c>
      <c r="Q112" s="17">
        <f>J112+L112+N112+O112-P112-M112</f>
        <v/>
      </c>
    </row>
    <row r="113">
      <c r="A113" s="16" t="inlineStr">
        <is>
          <t>5.15-5.21</t>
        </is>
      </c>
      <c r="B113" s="16" t="inlineStr">
        <is>
          <t>PO-128-09437114112631575</t>
        </is>
      </c>
      <c r="C113" s="16" t="inlineStr">
        <is>
          <t>Delivered</t>
        </is>
      </c>
      <c r="D113" s="16" t="inlineStr">
        <is>
          <t>128-09437166541431575</t>
        </is>
      </c>
      <c r="E113" s="16" t="inlineStr">
        <is>
          <t>Delivered</t>
        </is>
      </c>
      <c r="F113" s="16" t="inlineStr">
        <is>
          <t>A500-R</t>
        </is>
      </c>
      <c r="G113" s="16" t="inlineStr">
        <is>
          <t>Bocina Bluetooth Portátil Barra de Sonido, Inalámbrica con FM Radio, TWS, USB/TF, Graves Potentes para Hogar y Exteriores</t>
        </is>
      </c>
      <c r="H113" s="16" t="inlineStr">
        <is>
          <t>ROIO</t>
        </is>
      </c>
      <c r="I113" s="16" t="n">
        <v>1</v>
      </c>
      <c r="J113" s="17" t="n">
        <v>80</v>
      </c>
      <c r="K113" s="17" t="n">
        <v>47.38</v>
      </c>
      <c r="L113" s="17" t="n">
        <v>25.86</v>
      </c>
      <c r="M113" s="17" t="n">
        <v>0</v>
      </c>
      <c r="N113" s="17">
        <f>K113*0.08+L113*0.08</f>
        <v/>
      </c>
      <c r="O113" s="17">
        <f>-(K113*0.025+L113*0.025)</f>
        <v/>
      </c>
      <c r="P113" s="17">
        <f>32</f>
        <v/>
      </c>
      <c r="Q113" s="17">
        <f>J113+L113+N113+O113-P113-M113</f>
        <v/>
      </c>
    </row>
    <row r="114">
      <c r="A114" s="16" t="inlineStr">
        <is>
          <t>5.15-5.21</t>
        </is>
      </c>
      <c r="B114" s="16" t="inlineStr">
        <is>
          <t>PO-128-09165242225272299</t>
        </is>
      </c>
      <c r="C114" s="16" t="inlineStr">
        <is>
          <t>Delivered</t>
        </is>
      </c>
      <c r="D114" s="16" t="inlineStr">
        <is>
          <t>128-09165378540152299</t>
        </is>
      </c>
      <c r="E114" s="16" t="inlineStr">
        <is>
          <t>Delivered</t>
        </is>
      </c>
      <c r="F114" s="16" t="inlineStr">
        <is>
          <t>A500-N</t>
        </is>
      </c>
      <c r="G114" s="16" t="inlineStr">
        <is>
          <t>Bocina Bluetooth Portátil Barra de Sonido, Inalámbrica con FM Radio, TWS, USB/TF, Graves Potentes para Hogar y Exteriores</t>
        </is>
      </c>
      <c r="H114" s="16" t="inlineStr">
        <is>
          <t>NEGRO</t>
        </is>
      </c>
      <c r="I114" s="16" t="n">
        <v>1</v>
      </c>
      <c r="J114" s="17" t="n">
        <v>77.22</v>
      </c>
      <c r="K114" s="17" t="n">
        <v>90.06999999999999</v>
      </c>
      <c r="L114" s="17" t="n">
        <v>25.86</v>
      </c>
      <c r="M114" s="17" t="n">
        <v>0</v>
      </c>
      <c r="N114" s="17">
        <f>K114*0.08+L114*0.08</f>
        <v/>
      </c>
      <c r="O114" s="17">
        <f>-(K114*0.025+L114*0.025)</f>
        <v/>
      </c>
      <c r="P114" s="17">
        <f>32</f>
        <v/>
      </c>
      <c r="Q114" s="17">
        <f>J114+L114+N114+O114-P114-M114</f>
        <v/>
      </c>
    </row>
    <row r="115">
      <c r="A115" s="16" t="inlineStr">
        <is>
          <t>5.15-5.21</t>
        </is>
      </c>
      <c r="B115" s="16" t="inlineStr">
        <is>
          <t>PO-128-09049929738873883</t>
        </is>
      </c>
      <c r="C115" s="16" t="inlineStr">
        <is>
          <t>Delivered</t>
        </is>
      </c>
      <c r="D115" s="16" t="inlineStr">
        <is>
          <t>128-09049887795833883</t>
        </is>
      </c>
      <c r="E115" s="16" t="inlineStr">
        <is>
          <t>Delivered</t>
        </is>
      </c>
      <c r="F115" s="16" t="inlineStr">
        <is>
          <t>A500-N</t>
        </is>
      </c>
      <c r="G115" s="16" t="inlineStr">
        <is>
          <t>Bocina Bluetooth Portátil Barra de Sonido, Inalámbrica con FM Radio, TWS, USB/TF, Graves Potentes para Hogar y Exteriores</t>
        </is>
      </c>
      <c r="H115" s="16" t="inlineStr">
        <is>
          <t>NEGRO</t>
        </is>
      </c>
      <c r="I115" s="16" t="n">
        <v>1</v>
      </c>
      <c r="J115" s="17" t="n">
        <v>77.22</v>
      </c>
      <c r="K115" s="17" t="n">
        <v>72.06</v>
      </c>
      <c r="L115" s="17" t="n">
        <v>25.86</v>
      </c>
      <c r="M115" s="17" t="n">
        <v>0</v>
      </c>
      <c r="N115" s="17">
        <f>K115*0.08+L115*0.08</f>
        <v/>
      </c>
      <c r="O115" s="17">
        <f>-(K115*0.025+L115*0.025)</f>
        <v/>
      </c>
      <c r="P115" s="17">
        <f>32</f>
        <v/>
      </c>
      <c r="Q115" s="17">
        <f>J115+L115+N115+O115-P115-M115</f>
        <v/>
      </c>
    </row>
    <row r="116">
      <c r="A116" s="16" t="inlineStr">
        <is>
          <t>5.15-5.21</t>
        </is>
      </c>
      <c r="B116" s="16" t="inlineStr">
        <is>
          <t>PO-128-09185158759032117</t>
        </is>
      </c>
      <c r="C116" s="16" t="inlineStr">
        <is>
          <t>Delivered</t>
        </is>
      </c>
      <c r="D116" s="16" t="inlineStr">
        <is>
          <t>128-09185169244792117</t>
        </is>
      </c>
      <c r="E116" s="16" t="inlineStr">
        <is>
          <t>Delivered</t>
        </is>
      </c>
      <c r="F116" s="16" t="inlineStr">
        <is>
          <t>A500-N</t>
        </is>
      </c>
      <c r="G116" s="16" t="inlineStr">
        <is>
          <t>Bocina Bluetooth Portátil Barra de Sonido, Inalámbrica con FM Radio, TWS, USB/TF, Graves Potentes para Hogar y Exteriores</t>
        </is>
      </c>
      <c r="H116" s="16" t="inlineStr">
        <is>
          <t>NEGRO</t>
        </is>
      </c>
      <c r="I116" s="16" t="n">
        <v>1</v>
      </c>
      <c r="J116" s="17" t="n">
        <v>77.22</v>
      </c>
      <c r="K116" s="17" t="n">
        <v>90.06999999999999</v>
      </c>
      <c r="L116" s="17" t="n">
        <v>25.86</v>
      </c>
      <c r="M116" s="17" t="n">
        <v>0</v>
      </c>
      <c r="N116" s="17">
        <f>K116*0.08+L116*0.08</f>
        <v/>
      </c>
      <c r="O116" s="17">
        <f>-(K116*0.025+L116*0.025)</f>
        <v/>
      </c>
      <c r="P116" s="17">
        <f>32</f>
        <v/>
      </c>
      <c r="Q116" s="17">
        <f>J116+L116+N116+O116-P116-M116</f>
        <v/>
      </c>
    </row>
    <row r="117">
      <c r="A117" s="16" t="inlineStr">
        <is>
          <t>5.15-5.21</t>
        </is>
      </c>
      <c r="B117" s="16" t="inlineStr">
        <is>
          <t>PO-128-14639961178232370</t>
        </is>
      </c>
      <c r="C117" s="16" t="inlineStr">
        <is>
          <t>Delivered</t>
        </is>
      </c>
      <c r="D117" s="16" t="inlineStr">
        <is>
          <t>128-14639919235192370</t>
        </is>
      </c>
      <c r="E117" s="16" t="inlineStr">
        <is>
          <t>Delivered</t>
        </is>
      </c>
      <c r="F117" s="16" t="inlineStr">
        <is>
          <t>A500-N</t>
        </is>
      </c>
      <c r="G117" s="16" t="inlineStr">
        <is>
          <t>Bocina Bluetooth Portátil Barra de Sonido, Inalámbrica con FM Radio, TWS, USB/TF, Graves Potentes para Hogar y Exteriores</t>
        </is>
      </c>
      <c r="H117" s="16" t="inlineStr">
        <is>
          <t>NEGRO</t>
        </is>
      </c>
      <c r="I117" s="16" t="n">
        <v>1</v>
      </c>
      <c r="J117" s="17" t="n">
        <v>77.22</v>
      </c>
      <c r="K117" s="17" t="n">
        <v>90.06999999999999</v>
      </c>
      <c r="L117" s="17" t="n">
        <v>25.86</v>
      </c>
      <c r="M117" s="17" t="n">
        <v>0</v>
      </c>
      <c r="N117" s="17">
        <f>K117*0.08+L117*0.08</f>
        <v/>
      </c>
      <c r="O117" s="17">
        <f>-(K117*0.025+L117*0.025)</f>
        <v/>
      </c>
      <c r="P117" s="17">
        <f>32</f>
        <v/>
      </c>
      <c r="Q117" s="17">
        <f>J117+L117+N117+O117-P117-M117</f>
        <v/>
      </c>
    </row>
    <row r="118">
      <c r="A118" s="16" t="inlineStr">
        <is>
          <t>5.15-5.21</t>
        </is>
      </c>
      <c r="B118" s="16" t="inlineStr">
        <is>
          <t>PO-128-14514646136953180</t>
        </is>
      </c>
      <c r="C118" s="16" t="inlineStr">
        <is>
          <t>Delivered</t>
        </is>
      </c>
      <c r="D118" s="16" t="inlineStr">
        <is>
          <t>128-14514798180473180</t>
        </is>
      </c>
      <c r="E118" s="16" t="inlineStr">
        <is>
          <t>Delivered</t>
        </is>
      </c>
      <c r="F118" s="16" t="inlineStr">
        <is>
          <t>SA320T-N</t>
        </is>
      </c>
      <c r="G118" s="16" t="inlineStr">
        <is>
          <t>Altavoz inalámbrico portátil con Luces RGB, Radio FM y Manija - 5h Duración, TWS, TF Card, Compacto y Recargable via USB，Perfecto para viajes, fiestas y gaming</t>
        </is>
      </c>
      <c r="H118" s="16" t="inlineStr">
        <is>
          <t>negro</t>
        </is>
      </c>
      <c r="I118" s="16" t="n">
        <v>1</v>
      </c>
      <c r="J118" s="17" t="n">
        <v>63</v>
      </c>
      <c r="K118" s="17" t="n">
        <v>73.72</v>
      </c>
      <c r="L118" s="17" t="n">
        <v>25.86</v>
      </c>
      <c r="M118" s="17" t="n">
        <v>0</v>
      </c>
      <c r="N118" s="17">
        <f>K118*0.08+L118*0.08</f>
        <v/>
      </c>
      <c r="O118" s="17">
        <f>-(K118*0.025+L118*0.025)</f>
        <v/>
      </c>
      <c r="P118" s="17">
        <f>32</f>
        <v/>
      </c>
      <c r="Q118" s="17">
        <f>J118+L118+N118+O118-P118-M118</f>
        <v/>
      </c>
    </row>
    <row r="119">
      <c r="A119" s="16" t="inlineStr">
        <is>
          <t>5.15-5.21</t>
        </is>
      </c>
      <c r="B119" s="16" t="inlineStr">
        <is>
          <t>PO-128-15083556647030687</t>
        </is>
      </c>
      <c r="C119" s="16" t="inlineStr">
        <is>
          <t>Delivered</t>
        </is>
      </c>
      <c r="D119" s="16" t="inlineStr">
        <is>
          <t>128-15083723436150687</t>
        </is>
      </c>
      <c r="E119" s="16" t="inlineStr">
        <is>
          <t>Delivered</t>
        </is>
      </c>
      <c r="F119" s="16" t="inlineStr">
        <is>
          <t>A500-A</t>
        </is>
      </c>
      <c r="G119" s="16" t="inlineStr">
        <is>
          <t>Bocina Bluetooth Portátil Barra de Sonido, Inalámbrica con FM Radio, TWS, USB/TF, Graves Potentes para Hogar y Exteriores</t>
        </is>
      </c>
      <c r="H119" s="16" t="inlineStr">
        <is>
          <t>AZUL</t>
        </is>
      </c>
      <c r="I119" s="16" t="n">
        <v>1</v>
      </c>
      <c r="J119" s="17" t="n">
        <v>78.88</v>
      </c>
      <c r="K119" s="17" t="n">
        <v>6.6</v>
      </c>
      <c r="L119" s="17" t="n">
        <v>25.86</v>
      </c>
      <c r="M119" s="17" t="n">
        <v>0</v>
      </c>
      <c r="N119" s="17">
        <f>K119*0.08+L119*0.08</f>
        <v/>
      </c>
      <c r="O119" s="17">
        <f>-(K119*0.025+L119*0.025)</f>
        <v/>
      </c>
      <c r="P119" s="17">
        <f>32</f>
        <v/>
      </c>
      <c r="Q119" s="17">
        <f>J119+L119+N119+O119-P119-M119</f>
        <v/>
      </c>
    </row>
    <row r="120">
      <c r="A120" s="16" t="inlineStr">
        <is>
          <t>5.15-5.21</t>
        </is>
      </c>
      <c r="B120" s="16" t="inlineStr">
        <is>
          <t>PO-128-14847244337271070</t>
        </is>
      </c>
      <c r="C120" s="16" t="inlineStr">
        <is>
          <t>Delivered</t>
        </is>
      </c>
      <c r="D120" s="16" t="inlineStr">
        <is>
          <t>128-14847265308791070</t>
        </is>
      </c>
      <c r="E120" s="16" t="inlineStr">
        <is>
          <t>Delivered</t>
        </is>
      </c>
      <c r="F120" s="16" t="inlineStr">
        <is>
          <t>A500-N</t>
        </is>
      </c>
      <c r="G120" s="16" t="inlineStr">
        <is>
          <t>Bocina Bluetooth Portátil Barra de Sonido, Inalámbrica con FM Radio, TWS, USB/TF, Graves Potentes para Hogar y Exteriores</t>
        </is>
      </c>
      <c r="H120" s="16" t="inlineStr">
        <is>
          <t>NEGRO</t>
        </is>
      </c>
      <c r="I120" s="16" t="n">
        <v>1</v>
      </c>
      <c r="J120" s="17" t="n">
        <v>77.22</v>
      </c>
      <c r="K120" s="17" t="n">
        <v>69.70999999999999</v>
      </c>
      <c r="L120" s="17" t="n">
        <v>25.86</v>
      </c>
      <c r="M120" s="17" t="n">
        <v>0</v>
      </c>
      <c r="N120" s="17">
        <f>K120*0.08+L120*0.08</f>
        <v/>
      </c>
      <c r="O120" s="17">
        <f>-(K120*0.025+L120*0.025)</f>
        <v/>
      </c>
      <c r="P120" s="17">
        <f>32</f>
        <v/>
      </c>
      <c r="Q120" s="17">
        <f>J120+L120+N120+O120-P120-M120</f>
        <v/>
      </c>
    </row>
    <row r="121">
      <c r="A121" s="16" t="inlineStr">
        <is>
          <t>5.15-5.21</t>
        </is>
      </c>
      <c r="B121" s="16" t="inlineStr">
        <is>
          <t>PO-128-14863099640951936</t>
        </is>
      </c>
      <c r="C121" s="16" t="inlineStr">
        <is>
          <t>Delivered</t>
        </is>
      </c>
      <c r="D121" s="16" t="inlineStr">
        <is>
          <t>128-14863057697911936</t>
        </is>
      </c>
      <c r="E121" s="16" t="inlineStr">
        <is>
          <t>Delivered</t>
        </is>
      </c>
      <c r="F121" s="16" t="inlineStr">
        <is>
          <t>A500-N</t>
        </is>
      </c>
      <c r="G121" s="16" t="inlineStr">
        <is>
          <t>Bocina Bluetooth Portátil Barra de Sonido, Inalámbrica con FM Radio, TWS, USB/TF, Graves Potentes para Hogar y Exteriores</t>
        </is>
      </c>
      <c r="H121" s="16" t="inlineStr">
        <is>
          <t>NEGRO</t>
        </is>
      </c>
      <c r="I121" s="16" t="n">
        <v>1</v>
      </c>
      <c r="J121" s="17" t="n">
        <v>77.22</v>
      </c>
      <c r="K121" s="17" t="n">
        <v>90.06999999999999</v>
      </c>
      <c r="L121" s="17" t="n">
        <v>25.86</v>
      </c>
      <c r="M121" s="17" t="n">
        <v>0</v>
      </c>
      <c r="N121" s="17">
        <f>K121*0.08+L121*0.08</f>
        <v/>
      </c>
      <c r="O121" s="17">
        <f>-(K121*0.025+L121*0.025)</f>
        <v/>
      </c>
      <c r="P121" s="17">
        <f>32</f>
        <v/>
      </c>
      <c r="Q121" s="17">
        <f>J121+L121+N121+O121-P121-M121</f>
        <v/>
      </c>
    </row>
    <row r="122">
      <c r="A122" s="16" t="inlineStr">
        <is>
          <t>5.15-5.21</t>
        </is>
      </c>
      <c r="B122" s="16" t="inlineStr">
        <is>
          <t>PO-128-14601336845433688</t>
        </is>
      </c>
      <c r="C122" s="16" t="inlineStr">
        <is>
          <t>Delivered</t>
        </is>
      </c>
      <c r="D122" s="16" t="inlineStr">
        <is>
          <t>128-14601357816953688</t>
        </is>
      </c>
      <c r="E122" s="16" t="inlineStr">
        <is>
          <t>Delivered</t>
        </is>
      </c>
      <c r="F122" s="16" t="inlineStr">
        <is>
          <t>SA320T-V</t>
        </is>
      </c>
      <c r="G122" s="16" t="inlineStr">
        <is>
          <t>Altavoz inalámbrico portátil con Luces RGB, Radio FM y Manija - 5h Duración, TWS, TF Card, Compacto y Recargable via USB，Perfecto para viajes, fiestas y gaming</t>
        </is>
      </c>
      <c r="H122" s="16" t="inlineStr">
        <is>
          <t>verde</t>
        </is>
      </c>
      <c r="I122" s="16" t="n">
        <v>1</v>
      </c>
      <c r="J122" s="17" t="n">
        <v>63</v>
      </c>
      <c r="K122" s="17" t="n">
        <v>73.72</v>
      </c>
      <c r="L122" s="17" t="n">
        <v>25.86</v>
      </c>
      <c r="M122" s="17" t="n">
        <v>0</v>
      </c>
      <c r="N122" s="17">
        <f>K122*0.08+L122*0.08</f>
        <v/>
      </c>
      <c r="O122" s="17">
        <f>-(K122*0.025+L122*0.025)</f>
        <v/>
      </c>
      <c r="P122" s="17">
        <f>32</f>
        <v/>
      </c>
      <c r="Q122" s="17">
        <f>J122+L122+N122+O122-P122-M122</f>
        <v/>
      </c>
    </row>
    <row r="123">
      <c r="A123" s="16" t="inlineStr">
        <is>
          <t>5.15-5.21</t>
        </is>
      </c>
      <c r="B123" s="16" t="inlineStr">
        <is>
          <t>PO-128-14676659154552089</t>
        </is>
      </c>
      <c r="C123" s="16" t="inlineStr">
        <is>
          <t>Delivered</t>
        </is>
      </c>
      <c r="D123" s="16" t="inlineStr">
        <is>
          <t>128-14676680126072089</t>
        </is>
      </c>
      <c r="E123" s="16" t="inlineStr">
        <is>
          <t>Delivered</t>
        </is>
      </c>
      <c r="F123" s="16" t="inlineStr">
        <is>
          <t>A500-N</t>
        </is>
      </c>
      <c r="G123" s="16" t="inlineStr">
        <is>
          <t>Bocina Bluetooth Portátil Barra de Sonido, Inalámbrica con FM Radio, TWS, USB/TF, Graves Potentes para Hogar y Exteriores</t>
        </is>
      </c>
      <c r="H123" s="16" t="inlineStr">
        <is>
          <t>NEGRO</t>
        </is>
      </c>
      <c r="I123" s="16" t="n">
        <v>1</v>
      </c>
      <c r="J123" s="17" t="n">
        <v>77.22</v>
      </c>
      <c r="K123" s="17" t="n">
        <v>3.86</v>
      </c>
      <c r="L123" s="17" t="n">
        <v>25.86</v>
      </c>
      <c r="M123" s="17" t="n">
        <v>0.23</v>
      </c>
      <c r="N123" s="17">
        <f>K123*0.08+L123*0.08</f>
        <v/>
      </c>
      <c r="O123" s="17">
        <f>-(K123*0.025+L123*0.025)</f>
        <v/>
      </c>
      <c r="P123" s="17">
        <f>32</f>
        <v/>
      </c>
      <c r="Q123" s="17">
        <f>J123+L123+N123+O123-P123-M123</f>
        <v/>
      </c>
    </row>
    <row r="124">
      <c r="A124" s="16" t="inlineStr">
        <is>
          <t>5.15-5.21</t>
        </is>
      </c>
      <c r="B124" s="16" t="inlineStr">
        <is>
          <t>PO-128-14908033848951668</t>
        </is>
      </c>
      <c r="C124" s="16" t="inlineStr">
        <is>
          <t>Delivered</t>
        </is>
      </c>
      <c r="D124" s="16" t="inlineStr">
        <is>
          <t>128-14907991905911668</t>
        </is>
      </c>
      <c r="E124" s="16" t="inlineStr">
        <is>
          <t>Delivered</t>
        </is>
      </c>
      <c r="F124" s="16" t="inlineStr">
        <is>
          <t>A500-N</t>
        </is>
      </c>
      <c r="G124" s="16" t="inlineStr">
        <is>
          <t>Bocina Bluetooth Portátil Barra de Sonido, Inalámbrica con FM Radio, TWS, USB/TF, Graves Potentes para Hogar y Exteriores</t>
        </is>
      </c>
      <c r="H124" s="16" t="inlineStr">
        <is>
          <t>NEGRO</t>
        </is>
      </c>
      <c r="I124" s="16" t="n">
        <v>1</v>
      </c>
      <c r="J124" s="17" t="n">
        <v>77.22</v>
      </c>
      <c r="K124" s="17" t="n">
        <v>72.06</v>
      </c>
      <c r="L124" s="17" t="n">
        <v>25.86</v>
      </c>
      <c r="M124" s="17" t="n">
        <v>0</v>
      </c>
      <c r="N124" s="17">
        <f>K124*0.08+L124*0.08</f>
        <v/>
      </c>
      <c r="O124" s="17">
        <f>-(K124*0.025+L124*0.025)</f>
        <v/>
      </c>
      <c r="P124" s="17">
        <f>32</f>
        <v/>
      </c>
      <c r="Q124" s="17">
        <f>J124+L124+N124+O124-P124-M124</f>
        <v/>
      </c>
    </row>
    <row r="125">
      <c r="A125" s="16" t="inlineStr">
        <is>
          <t>5.15-5.21</t>
        </is>
      </c>
      <c r="B125" s="16" t="inlineStr">
        <is>
          <t>PO-128-15103970130550564</t>
        </is>
      </c>
      <c r="C125" s="16" t="inlineStr">
        <is>
          <t>Delivered</t>
        </is>
      </c>
      <c r="D125" s="16" t="inlineStr">
        <is>
          <t>128-15103991102070564</t>
        </is>
      </c>
      <c r="E125" s="16" t="inlineStr">
        <is>
          <t>Delivered</t>
        </is>
      </c>
      <c r="F125" s="16" t="inlineStr">
        <is>
          <t>A500-R</t>
        </is>
      </c>
      <c r="G125" s="16" t="inlineStr">
        <is>
          <t>Bocina Bluetooth Portátil Barra de Sonido, Inalámbrica con FM Radio, TWS, USB/TF, Graves Potentes para Hogar y Exteriores</t>
        </is>
      </c>
      <c r="H125" s="16" t="inlineStr">
        <is>
          <t>ROIO</t>
        </is>
      </c>
      <c r="I125" s="16" t="n">
        <v>1</v>
      </c>
      <c r="J125" s="17" t="n">
        <v>80</v>
      </c>
      <c r="K125" s="17" t="n">
        <v>90.48</v>
      </c>
      <c r="L125" s="17" t="n">
        <v>25.86</v>
      </c>
      <c r="M125" s="17" t="n">
        <v>0</v>
      </c>
      <c r="N125" s="17">
        <f>K125*0.08+L125*0.08</f>
        <v/>
      </c>
      <c r="O125" s="17">
        <f>-(K125*0.025+L125*0.025)</f>
        <v/>
      </c>
      <c r="P125" s="17">
        <f>32</f>
        <v/>
      </c>
      <c r="Q125" s="17">
        <f>J125+L125+N125+O125-P125-M125</f>
        <v/>
      </c>
    </row>
    <row r="126">
      <c r="A126" s="16" t="inlineStr">
        <is>
          <t>5.15-5.21</t>
        </is>
      </c>
      <c r="B126" s="16" t="inlineStr">
        <is>
          <t>PO-128-14792644444791525</t>
        </is>
      </c>
      <c r="C126" s="16" t="inlineStr">
        <is>
          <t>Delivered</t>
        </is>
      </c>
      <c r="D126" s="16" t="inlineStr">
        <is>
          <t>128-14792796488311525</t>
        </is>
      </c>
      <c r="E126" s="16" t="inlineStr">
        <is>
          <t>Delivered</t>
        </is>
      </c>
      <c r="F126" s="16" t="inlineStr">
        <is>
          <t>A500-A</t>
        </is>
      </c>
      <c r="G126" s="16" t="inlineStr">
        <is>
          <t>Bocina Bluetooth Portátil Barra de Sonido, Inalámbrica con FM Radio, TWS, USB/TF, Graves Potentes para Hogar y Exteriores</t>
        </is>
      </c>
      <c r="H126" s="16" t="inlineStr">
        <is>
          <t>AZUL</t>
        </is>
      </c>
      <c r="I126" s="16" t="n">
        <v>1</v>
      </c>
      <c r="J126" s="17" t="n">
        <v>78.88</v>
      </c>
      <c r="K126" s="17" t="n">
        <v>89.36</v>
      </c>
      <c r="L126" s="17" t="n">
        <v>12.84</v>
      </c>
      <c r="M126" s="17" t="n">
        <v>0</v>
      </c>
      <c r="N126" s="17">
        <f>K126*0.08+L126*0.08</f>
        <v/>
      </c>
      <c r="O126" s="17">
        <f>-(K126*0.025+L126*0.025)</f>
        <v/>
      </c>
      <c r="P126" s="17">
        <f>32</f>
        <v/>
      </c>
      <c r="Q126" s="17">
        <f>J126+L126+N126+O126-P126-M126</f>
        <v/>
      </c>
    </row>
    <row r="127">
      <c r="A127" s="16" t="inlineStr">
        <is>
          <t>5.15-5.21</t>
        </is>
      </c>
      <c r="B127" s="16" t="inlineStr">
        <is>
          <t>PO-128-14792644444791525</t>
        </is>
      </c>
      <c r="C127" s="16" t="inlineStr">
        <is>
          <t>Delivered</t>
        </is>
      </c>
      <c r="D127" s="16" t="inlineStr">
        <is>
          <t>128-14792754545271525</t>
        </is>
      </c>
      <c r="E127" s="16" t="inlineStr">
        <is>
          <t>Delivered</t>
        </is>
      </c>
      <c r="F127" s="16" t="inlineStr">
        <is>
          <t>A500-R</t>
        </is>
      </c>
      <c r="G127" s="16" t="inlineStr">
        <is>
          <t>Bocina Bluetooth Portátil Barra de Sonido, Inalámbrica con FM Radio, TWS, USB/TF, Graves Potentes para Hogar y Exteriores</t>
        </is>
      </c>
      <c r="H127" s="16" t="inlineStr">
        <is>
          <t>ROIO</t>
        </is>
      </c>
      <c r="I127" s="16" t="n">
        <v>1</v>
      </c>
      <c r="J127" s="17" t="n">
        <v>80</v>
      </c>
      <c r="K127" s="17" t="n">
        <v>90.48</v>
      </c>
      <c r="L127" s="17" t="n">
        <v>13.02</v>
      </c>
      <c r="M127" s="17" t="n">
        <v>0</v>
      </c>
      <c r="N127" s="17">
        <f>K127*0.08+L127*0.08</f>
        <v/>
      </c>
      <c r="O127" s="17">
        <f>-(K127*0.025+L127*0.025)</f>
        <v/>
      </c>
      <c r="P127" s="17">
        <f>32</f>
        <v/>
      </c>
      <c r="Q127" s="17">
        <f>J127+L127+N127+O127-P127-M127</f>
        <v/>
      </c>
    </row>
    <row r="128">
      <c r="A128" s="16" t="inlineStr">
        <is>
          <t>5.15-5.21</t>
        </is>
      </c>
      <c r="B128" s="16" t="inlineStr">
        <is>
          <t>PO-128-14837746058871257</t>
        </is>
      </c>
      <c r="C128" s="16" t="inlineStr">
        <is>
          <t>Delivered</t>
        </is>
      </c>
      <c r="D128" s="16" t="inlineStr">
        <is>
          <t>128-14837704115831257</t>
        </is>
      </c>
      <c r="E128" s="16" t="inlineStr">
        <is>
          <t>Delivered</t>
        </is>
      </c>
      <c r="F128" s="16" t="inlineStr">
        <is>
          <t>SA320T-N</t>
        </is>
      </c>
      <c r="G128" s="16" t="inlineStr">
        <is>
          <t>Altavoz inalámbrico portátil con Luces RGB, Radio FM y Manija - 5h Duración, TWS, TF Card, Compacto y Recargable via USB，Perfecto para viajes, fiestas y gaming</t>
        </is>
      </c>
      <c r="H128" s="16" t="inlineStr">
        <is>
          <t>negro</t>
        </is>
      </c>
      <c r="I128" s="16" t="n">
        <v>1</v>
      </c>
      <c r="J128" s="17" t="n">
        <v>63</v>
      </c>
      <c r="K128" s="17" t="n">
        <v>73.72</v>
      </c>
      <c r="L128" s="17" t="n">
        <v>25.86</v>
      </c>
      <c r="M128" s="17" t="n">
        <v>0</v>
      </c>
      <c r="N128" s="17">
        <f>K128*0.08+L128*0.08</f>
        <v/>
      </c>
      <c r="O128" s="17">
        <f>-(K128*0.025+L128*0.025)</f>
        <v/>
      </c>
      <c r="P128" s="17">
        <f>32</f>
        <v/>
      </c>
      <c r="Q128" s="17">
        <f>J128+L128+N128+O128-P128-M128</f>
        <v/>
      </c>
    </row>
    <row r="129">
      <c r="A129" s="16" t="inlineStr">
        <is>
          <t>5.15-5.21</t>
        </is>
      </c>
      <c r="B129" s="16" t="inlineStr">
        <is>
          <t>PO-128-14465724416633408</t>
        </is>
      </c>
      <c r="C129" s="16" t="inlineStr">
        <is>
          <t>Delivered</t>
        </is>
      </c>
      <c r="D129" s="16" t="inlineStr">
        <is>
          <t>128-14465766359673408</t>
        </is>
      </c>
      <c r="E129" s="16" t="inlineStr">
        <is>
          <t>Delivered</t>
        </is>
      </c>
      <c r="F129" s="16" t="inlineStr">
        <is>
          <t>A500-N</t>
        </is>
      </c>
      <c r="G129" s="16" t="inlineStr">
        <is>
          <t>Bocina Bluetooth Portátil Barra de Sonido, Inalámbrica con FM Radio, TWS, USB/TF, Graves Potentes para Hogar y Exteriores</t>
        </is>
      </c>
      <c r="H129" s="16" t="inlineStr">
        <is>
          <t>NEGRO</t>
        </is>
      </c>
      <c r="I129" s="16" t="n">
        <v>1</v>
      </c>
      <c r="J129" s="17" t="n">
        <v>77.22</v>
      </c>
      <c r="K129" s="17" t="n">
        <v>7.31</v>
      </c>
      <c r="L129" s="17" t="n">
        <v>25.86</v>
      </c>
      <c r="M129" s="17" t="n">
        <v>0.48</v>
      </c>
      <c r="N129" s="17">
        <f>K129*0.08+L129*0.08</f>
        <v/>
      </c>
      <c r="O129" s="17">
        <f>-(K129*0.025+L129*0.025)</f>
        <v/>
      </c>
      <c r="P129" s="17">
        <f>32</f>
        <v/>
      </c>
      <c r="Q129" s="17">
        <f>J129+L129+N129+O129-P129-M129</f>
        <v/>
      </c>
    </row>
    <row r="130">
      <c r="A130" s="16" t="inlineStr">
        <is>
          <t>5.15-5.21</t>
        </is>
      </c>
      <c r="B130" s="16" t="inlineStr">
        <is>
          <t>PO-128-14837612283511257</t>
        </is>
      </c>
      <c r="C130" s="16" t="inlineStr">
        <is>
          <t>Delivered</t>
        </is>
      </c>
      <c r="D130" s="16" t="inlineStr">
        <is>
          <t>128-14837680440951257</t>
        </is>
      </c>
      <c r="E130" s="16" t="inlineStr">
        <is>
          <t>Delivered</t>
        </is>
      </c>
      <c r="F130" s="16" t="inlineStr">
        <is>
          <t>SA320T-N</t>
        </is>
      </c>
      <c r="G130" s="16" t="inlineStr">
        <is>
          <t>Altavoz inalámbrico portátil con Luces RGB, Radio FM y Manija - 5h Duración, TWS, TF Card, Compacto y Recargable via USB，Perfecto para viajes, fiestas y gaming</t>
        </is>
      </c>
      <c r="H130" s="16" t="inlineStr">
        <is>
          <t>negro</t>
        </is>
      </c>
      <c r="I130" s="16" t="n">
        <v>1</v>
      </c>
      <c r="J130" s="17" t="n">
        <v>63</v>
      </c>
      <c r="K130" s="17" t="n">
        <v>73.72</v>
      </c>
      <c r="L130" s="17" t="n">
        <v>25.86</v>
      </c>
      <c r="M130" s="17" t="n">
        <v>0</v>
      </c>
      <c r="N130" s="17">
        <f>K130*0.08+L130*0.08</f>
        <v/>
      </c>
      <c r="O130" s="17">
        <f>-(K130*0.025+L130*0.025)</f>
        <v/>
      </c>
      <c r="P130" s="17">
        <f>32</f>
        <v/>
      </c>
      <c r="Q130" s="17">
        <f>J130+L130+N130+O130-P130-M130</f>
        <v/>
      </c>
    </row>
    <row r="131">
      <c r="A131" s="16" t="inlineStr">
        <is>
          <t>5.15-5.21</t>
        </is>
      </c>
      <c r="B131" s="16" t="inlineStr">
        <is>
          <t>PO-128-03622007708792506</t>
        </is>
      </c>
      <c r="C131" s="16" t="inlineStr">
        <is>
          <t>Delivered</t>
        </is>
      </c>
      <c r="D131" s="16" t="inlineStr">
        <is>
          <t>128-03621965765752506</t>
        </is>
      </c>
      <c r="E131" s="16" t="inlineStr">
        <is>
          <t>Delivered</t>
        </is>
      </c>
      <c r="F131" s="16" t="inlineStr">
        <is>
          <t>SA320T-N</t>
        </is>
      </c>
      <c r="G131" s="16" t="inlineStr">
        <is>
          <t>Altavoz inalámbrico portátil con Luces RGB, Radio FM y Manija - 5h Duración, TWS, TF Card, Compacto y Recargable via USB，Perfecto para viajes, fiestas y gaming</t>
        </is>
      </c>
      <c r="H131" s="16" t="inlineStr">
        <is>
          <t>negro</t>
        </is>
      </c>
      <c r="I131" s="16" t="n">
        <v>1</v>
      </c>
      <c r="J131" s="17" t="n">
        <v>63</v>
      </c>
      <c r="K131" s="17" t="n">
        <v>73.72</v>
      </c>
      <c r="L131" s="17" t="n">
        <v>25.86</v>
      </c>
      <c r="M131" s="17" t="n">
        <v>0</v>
      </c>
      <c r="N131" s="17">
        <f>K131*0.08+L131*0.08</f>
        <v/>
      </c>
      <c r="O131" s="17">
        <f>-(K131*0.025+L131*0.025)</f>
        <v/>
      </c>
      <c r="P131" s="17">
        <f>32</f>
        <v/>
      </c>
      <c r="Q131" s="17">
        <f>J131+L131+N131+O131-P131-M131</f>
        <v/>
      </c>
    </row>
    <row r="132">
      <c r="A132" s="16" t="inlineStr">
        <is>
          <t>5.15-5.21</t>
        </is>
      </c>
      <c r="B132" s="16" t="inlineStr">
        <is>
          <t>PO-128-03684630500472132</t>
        </is>
      </c>
      <c r="C132" s="16" t="inlineStr">
        <is>
          <t>Delivered</t>
        </is>
      </c>
      <c r="D132" s="16" t="inlineStr">
        <is>
          <t>128-03684766815352132</t>
        </is>
      </c>
      <c r="E132" s="16" t="inlineStr">
        <is>
          <t>Delivered</t>
        </is>
      </c>
      <c r="F132" s="16" t="inlineStr">
        <is>
          <t>A500-N</t>
        </is>
      </c>
      <c r="G132" s="16" t="inlineStr">
        <is>
          <t>Bocina Bluetooth Portátil Barra de Sonido, Inalámbrica con FM Radio, TWS, USB/TF, Graves Potentes para Hogar y Exteriores</t>
        </is>
      </c>
      <c r="H132" s="16" t="inlineStr">
        <is>
          <t>NEGRO</t>
        </is>
      </c>
      <c r="I132" s="16" t="n">
        <v>1</v>
      </c>
      <c r="J132" s="17" t="n">
        <v>77.22</v>
      </c>
      <c r="K132" s="17" t="n">
        <v>90.06999999999999</v>
      </c>
      <c r="L132" s="17" t="n">
        <v>0</v>
      </c>
      <c r="M132" s="17" t="n">
        <v>90.06999999999999</v>
      </c>
      <c r="N132" s="17">
        <f>K132*0.08+L132*0.08</f>
        <v/>
      </c>
      <c r="O132" s="17">
        <f>-(K132*0.025+L132*0.025)</f>
        <v/>
      </c>
      <c r="P132" s="17">
        <f>32</f>
        <v/>
      </c>
      <c r="Q132" s="17">
        <f>J132+L132+N132+O132-P132-M132</f>
        <v/>
      </c>
    </row>
    <row r="133">
      <c r="A133" s="16" t="inlineStr">
        <is>
          <t>5.15-5.21</t>
        </is>
      </c>
      <c r="B133" s="16" t="inlineStr">
        <is>
          <t>PO-128-03557701778553915</t>
        </is>
      </c>
      <c r="C133" s="16" t="inlineStr">
        <is>
          <t>Delivered</t>
        </is>
      </c>
      <c r="D133" s="16" t="inlineStr">
        <is>
          <t>128-03557769935993915</t>
        </is>
      </c>
      <c r="E133" s="16" t="inlineStr">
        <is>
          <t>Delivered</t>
        </is>
      </c>
      <c r="F133" s="16" t="inlineStr">
        <is>
          <t>SA320T-R</t>
        </is>
      </c>
      <c r="G133" s="16" t="inlineStr">
        <is>
          <t>Altavoz inalámbrico portátil con Luces RGB, Radio FM y Manija - 5h Duración, TWS, TF Card, Compacto y Recargable via USB，Perfecto para viajes, fiestas y gaming</t>
        </is>
      </c>
      <c r="H133" s="16" t="inlineStr">
        <is>
          <t>rojo</t>
        </is>
      </c>
      <c r="I133" s="16" t="n">
        <v>1</v>
      </c>
      <c r="J133" s="17" t="n">
        <v>63</v>
      </c>
      <c r="K133" s="17" t="n">
        <v>73.72</v>
      </c>
      <c r="L133" s="17" t="n">
        <v>25.86</v>
      </c>
      <c r="M133" s="17" t="n">
        <v>0</v>
      </c>
      <c r="N133" s="17">
        <f>K133*0.08+L133*0.08</f>
        <v/>
      </c>
      <c r="O133" s="17">
        <f>-(K133*0.025+L133*0.025)</f>
        <v/>
      </c>
      <c r="P133" s="17">
        <f>32</f>
        <v/>
      </c>
      <c r="Q133" s="17">
        <f>J133+L133+N133+O133-P133-M133</f>
        <v/>
      </c>
    </row>
    <row r="134">
      <c r="A134" s="16" t="inlineStr">
        <is>
          <t>5.15-5.21</t>
        </is>
      </c>
      <c r="B134" s="16" t="inlineStr">
        <is>
          <t>PO-128-03586764987513612</t>
        </is>
      </c>
      <c r="C134" s="16" t="inlineStr">
        <is>
          <t>Delivered</t>
        </is>
      </c>
      <c r="D134" s="16" t="inlineStr">
        <is>
          <t>128-03586723044473612</t>
        </is>
      </c>
      <c r="E134" s="16" t="inlineStr">
        <is>
          <t>Delivered</t>
        </is>
      </c>
      <c r="F134" s="16" t="inlineStr">
        <is>
          <t>MB-184N</t>
        </is>
      </c>
      <c r="G134" s="16" t="inlineStr">
        <is>
          <t>Linkbits Portable Bluetooth Speaker - 800W Peak Power, 50W Full-Range Audio with Dual Bass System &amp; Deep Bass Membranes, Powerful &amp; Distortion-Free Sound, IP65 Waterproof Dustproof, TWS Support &amp; 6H Battery for Outdoor/Party</t>
        </is>
      </c>
      <c r="H134" s="16" t="inlineStr">
        <is>
          <t>NEGRO/MB-184</t>
        </is>
      </c>
      <c r="I134" s="16" t="n">
        <v>1</v>
      </c>
      <c r="J134" s="17" t="n">
        <v>630</v>
      </c>
      <c r="K134" s="17" t="n">
        <v>739.61</v>
      </c>
      <c r="L134" s="17" t="n">
        <v>0</v>
      </c>
      <c r="M134" s="17" t="n">
        <v>86.2</v>
      </c>
      <c r="N134" s="17">
        <f>K134*0.08+L134*0.08</f>
        <v/>
      </c>
      <c r="O134" s="17">
        <f>-(K134*0.025+L134*0.025)</f>
        <v/>
      </c>
      <c r="P134" s="17">
        <f>32</f>
        <v/>
      </c>
      <c r="Q134" s="17">
        <f>J134+L134+N134+O134-P134-M134</f>
        <v/>
      </c>
    </row>
    <row r="135">
      <c r="A135" s="16" t="inlineStr">
        <is>
          <t>5.15-5.21</t>
        </is>
      </c>
      <c r="B135" s="16" t="inlineStr">
        <is>
          <t>PO-128-03560425536633963</t>
        </is>
      </c>
      <c r="C135" s="16" t="inlineStr">
        <is>
          <t>Delivered</t>
        </is>
      </c>
      <c r="D135" s="16" t="inlineStr">
        <is>
          <t>128-03560383593593963</t>
        </is>
      </c>
      <c r="E135" s="16" t="inlineStr">
        <is>
          <t>Delivered</t>
        </is>
      </c>
      <c r="F135" s="16" t="inlineStr">
        <is>
          <t>A500-A</t>
        </is>
      </c>
      <c r="G135" s="16" t="inlineStr">
        <is>
          <t>Bocina Bluetooth Portátil Barra de Sonido, Inalámbrica con FM Radio, TWS, USB/TF, Graves Potentes para Hogar y Exteriores</t>
        </is>
      </c>
      <c r="H135" s="16" t="inlineStr">
        <is>
          <t>AZUL</t>
        </is>
      </c>
      <c r="I135" s="16" t="n">
        <v>1</v>
      </c>
      <c r="J135" s="17" t="n">
        <v>78.88</v>
      </c>
      <c r="K135" s="17" t="n">
        <v>3.15</v>
      </c>
      <c r="L135" s="17" t="n">
        <v>25.86</v>
      </c>
      <c r="M135" s="17" t="n">
        <v>0</v>
      </c>
      <c r="N135" s="17">
        <f>K135*0.08+L135*0.08</f>
        <v/>
      </c>
      <c r="O135" s="17">
        <f>-(K135*0.025+L135*0.025)</f>
        <v/>
      </c>
      <c r="P135" s="17">
        <f>32</f>
        <v/>
      </c>
      <c r="Q135" s="17">
        <f>J135+L135+N135+O135-P135-M135</f>
        <v/>
      </c>
    </row>
    <row r="136">
      <c r="A136" s="16" t="inlineStr">
        <is>
          <t>5.15-5.21</t>
        </is>
      </c>
      <c r="B136" s="16" t="inlineStr">
        <is>
          <t>PO-128-03564658110073937</t>
        </is>
      </c>
      <c r="C136" s="16" t="inlineStr">
        <is>
          <t>Delivered</t>
        </is>
      </c>
      <c r="D136" s="16" t="inlineStr">
        <is>
          <t>128-03564713160313937</t>
        </is>
      </c>
      <c r="E136" s="16" t="inlineStr">
        <is>
          <t>Delivered</t>
        </is>
      </c>
      <c r="F136" s="16" t="inlineStr">
        <is>
          <t>SA320T-V</t>
        </is>
      </c>
      <c r="G136" s="16" t="inlineStr">
        <is>
          <t>Altavoz inalámbrico portátil con Luces RGB, Radio FM y Manija - 5h Duración, TWS, TF Card, Compacto y Recargable via USB，Perfecto para viajes, fiestas y gaming</t>
        </is>
      </c>
      <c r="H136" s="16" t="inlineStr">
        <is>
          <t>verde</t>
        </is>
      </c>
      <c r="I136" s="16" t="n">
        <v>1</v>
      </c>
      <c r="J136" s="17" t="n">
        <v>63</v>
      </c>
      <c r="K136" s="17" t="n">
        <v>73.72</v>
      </c>
      <c r="L136" s="17" t="n">
        <v>25.86</v>
      </c>
      <c r="M136" s="17" t="n">
        <v>0</v>
      </c>
      <c r="N136" s="17">
        <f>K136*0.08+L136*0.08</f>
        <v/>
      </c>
      <c r="O136" s="17">
        <f>-(K136*0.025+L136*0.025)</f>
        <v/>
      </c>
      <c r="P136" s="17">
        <f>32</f>
        <v/>
      </c>
      <c r="Q136" s="17">
        <f>J136+L136+N136+O136-P136-M136</f>
        <v/>
      </c>
    </row>
    <row r="137">
      <c r="A137" s="16" t="inlineStr">
        <is>
          <t>5.15-5.21</t>
        </is>
      </c>
      <c r="B137" s="16" t="inlineStr">
        <is>
          <t>PO-128-03894239511671845</t>
        </is>
      </c>
      <c r="C137" s="16" t="inlineStr">
        <is>
          <t>Delivered</t>
        </is>
      </c>
      <c r="D137" s="16" t="inlineStr">
        <is>
          <t>128-03894218540151845</t>
        </is>
      </c>
      <c r="E137" s="16" t="inlineStr">
        <is>
          <t>Delivered</t>
        </is>
      </c>
      <c r="F137" s="16" t="inlineStr">
        <is>
          <t>A500-N</t>
        </is>
      </c>
      <c r="G137" s="16" t="inlineStr">
        <is>
          <t>Bocina Bluetooth Portátil Barra de Sonido, Inalámbrica con FM Radio, TWS, USB/TF, Graves Potentes para Hogar y Exteriores</t>
        </is>
      </c>
      <c r="H137" s="16" t="inlineStr">
        <is>
          <t>NEGRO</t>
        </is>
      </c>
      <c r="I137" s="16" t="n">
        <v>1</v>
      </c>
      <c r="J137" s="17" t="n">
        <v>77.22</v>
      </c>
      <c r="K137" s="17" t="n">
        <v>90.06999999999999</v>
      </c>
      <c r="L137" s="17" t="n">
        <v>25.86</v>
      </c>
      <c r="M137" s="17" t="n">
        <v>0</v>
      </c>
      <c r="N137" s="17">
        <f>K137*0.08+L137*0.08</f>
        <v/>
      </c>
      <c r="O137" s="17">
        <f>-(K137*0.025+L137*0.025)</f>
        <v/>
      </c>
      <c r="P137" s="17">
        <f>32</f>
        <v/>
      </c>
      <c r="Q137" s="17">
        <f>J137+L137+N137+O137-P137-M137</f>
        <v/>
      </c>
    </row>
    <row r="138">
      <c r="A138" s="16" t="inlineStr">
        <is>
          <t>5.15-5.21</t>
        </is>
      </c>
      <c r="B138" s="16" t="inlineStr">
        <is>
          <t>PO-128-03624864248952555</t>
        </is>
      </c>
      <c r="C138" s="16" t="inlineStr">
        <is>
          <t>Delivered</t>
        </is>
      </c>
      <c r="D138" s="16" t="inlineStr">
        <is>
          <t>128-03624822305912555</t>
        </is>
      </c>
      <c r="E138" s="16" t="inlineStr">
        <is>
          <t>Delivered</t>
        </is>
      </c>
      <c r="F138" s="16" t="inlineStr">
        <is>
          <t>A500-R</t>
        </is>
      </c>
      <c r="G138" s="16" t="inlineStr">
        <is>
          <t>Bocina Bluetooth Portátil Barra de Sonido, Inalámbrica con FM Radio, TWS, USB/TF, Graves Potentes para Hogar y Exteriores</t>
        </is>
      </c>
      <c r="H138" s="16" t="inlineStr">
        <is>
          <t>ROIO</t>
        </is>
      </c>
      <c r="I138" s="16" t="n">
        <v>1</v>
      </c>
      <c r="J138" s="17" t="n">
        <v>80</v>
      </c>
      <c r="K138" s="17" t="n">
        <v>4.27</v>
      </c>
      <c r="L138" s="17" t="n">
        <v>25.86</v>
      </c>
      <c r="M138" s="17" t="n">
        <v>0.26</v>
      </c>
      <c r="N138" s="17">
        <f>K138*0.08+L138*0.08</f>
        <v/>
      </c>
      <c r="O138" s="17">
        <f>-(K138*0.025+L138*0.025)</f>
        <v/>
      </c>
      <c r="P138" s="17">
        <f>32</f>
        <v/>
      </c>
      <c r="Q138" s="17">
        <f>J138+L138+N138+O138-P138-M138</f>
        <v/>
      </c>
    </row>
    <row r="139">
      <c r="A139" s="16" t="inlineStr">
        <is>
          <t>5.15-5.21</t>
        </is>
      </c>
      <c r="B139" s="16" t="inlineStr">
        <is>
          <t>PO-128-03716912315512836</t>
        </is>
      </c>
      <c r="C139" s="16" t="inlineStr">
        <is>
          <t>Delivered</t>
        </is>
      </c>
      <c r="D139" s="16" t="inlineStr">
        <is>
          <t>128-03716925422712836</t>
        </is>
      </c>
      <c r="E139" s="16" t="inlineStr">
        <is>
          <t>Delivered</t>
        </is>
      </c>
      <c r="F139" s="16" t="inlineStr">
        <is>
          <t>A500-N</t>
        </is>
      </c>
      <c r="G139" s="16" t="inlineStr">
        <is>
          <t>Bocina Bluetooth Portátil Barra de Sonido, Inalámbrica con FM Radio, TWS, USB/TF, Graves Potentes para Hogar y Exteriores</t>
        </is>
      </c>
      <c r="H139" s="16" t="inlineStr">
        <is>
          <t>NEGRO</t>
        </is>
      </c>
      <c r="I139" s="16" t="n">
        <v>1</v>
      </c>
      <c r="J139" s="17" t="n">
        <v>77.22</v>
      </c>
      <c r="K139" s="17" t="n">
        <v>90.06999999999999</v>
      </c>
      <c r="L139" s="17" t="n">
        <v>25.86</v>
      </c>
      <c r="M139" s="17" t="n">
        <v>0</v>
      </c>
      <c r="N139" s="17">
        <f>K139*0.08+L139*0.08</f>
        <v/>
      </c>
      <c r="O139" s="17">
        <f>-(K139*0.025+L139*0.025)</f>
        <v/>
      </c>
      <c r="P139" s="17">
        <f>32</f>
        <v/>
      </c>
      <c r="Q139" s="17">
        <f>J139+L139+N139+O139-P139-M139</f>
        <v/>
      </c>
    </row>
    <row r="140">
      <c r="A140" s="16" t="inlineStr">
        <is>
          <t>5.15-5.21</t>
        </is>
      </c>
      <c r="B140" s="16" t="inlineStr">
        <is>
          <t>PO-128-03870840100471982</t>
        </is>
      </c>
      <c r="C140" s="16" t="inlineStr">
        <is>
          <t>Delivered</t>
        </is>
      </c>
      <c r="D140" s="16" t="inlineStr">
        <is>
          <t>128-03870880077431982</t>
        </is>
      </c>
      <c r="E140" s="16" t="inlineStr">
        <is>
          <t>Delivered</t>
        </is>
      </c>
      <c r="F140" s="16" t="inlineStr">
        <is>
          <t>A500-N</t>
        </is>
      </c>
      <c r="G140" s="16" t="inlineStr">
        <is>
          <t>Bocina Bluetooth Portátil Barra de Sonido, Inalámbrica con FM Radio, TWS, USB/TF, Graves Potentes para Hogar y Exteriores</t>
        </is>
      </c>
      <c r="H140" s="16" t="inlineStr">
        <is>
          <t>NEGRO</t>
        </is>
      </c>
      <c r="I140" s="16" t="n">
        <v>1</v>
      </c>
      <c r="J140" s="17" t="n">
        <v>77.22</v>
      </c>
      <c r="K140" s="17" t="n">
        <v>90.06999999999999</v>
      </c>
      <c r="L140" s="17" t="n">
        <v>25.86</v>
      </c>
      <c r="M140" s="17" t="n">
        <v>0</v>
      </c>
      <c r="N140" s="17">
        <f>K140*0.08+L140*0.08</f>
        <v/>
      </c>
      <c r="O140" s="17">
        <f>-(K140*0.025+L140*0.025)</f>
        <v/>
      </c>
      <c r="P140" s="17">
        <f>32</f>
        <v/>
      </c>
      <c r="Q140" s="17">
        <f>J140+L140+N140+O140-P140-M140</f>
        <v/>
      </c>
    </row>
    <row r="141">
      <c r="A141" s="16" t="inlineStr">
        <is>
          <t>5.15-5.21</t>
        </is>
      </c>
      <c r="B141" s="16" t="inlineStr">
        <is>
          <t>PO-128-04082920535670654</t>
        </is>
      </c>
      <c r="C141" s="16" t="inlineStr">
        <is>
          <t>Delivered</t>
        </is>
      </c>
      <c r="D141" s="16" t="inlineStr">
        <is>
          <t>128-04083056850550654</t>
        </is>
      </c>
      <c r="E141" s="16" t="inlineStr">
        <is>
          <t>Delivered</t>
        </is>
      </c>
      <c r="F141" s="16" t="inlineStr">
        <is>
          <t>MB-184N</t>
        </is>
      </c>
      <c r="G141" s="16" t="inlineStr">
        <is>
          <t>Linkbits Portable Bluetooth Speaker - 800W Peak Power, 50W Full-Range Audio with Dual Bass System &amp; Deep Bass Membranes, Powerful &amp; Distortion-Free Sound, IP65 Waterproof Dustproof, TWS Support &amp; 6H Battery for Outdoor/Party</t>
        </is>
      </c>
      <c r="H141" s="16" t="inlineStr">
        <is>
          <t>NEGRO/MB-184</t>
        </is>
      </c>
      <c r="I141" s="16" t="n">
        <v>1</v>
      </c>
      <c r="J141" s="17" t="n">
        <v>630</v>
      </c>
      <c r="K141" s="17" t="n">
        <v>628.67</v>
      </c>
      <c r="L141" s="17" t="n">
        <v>0</v>
      </c>
      <c r="M141" s="17" t="n">
        <v>0</v>
      </c>
      <c r="N141" s="17">
        <f>K141*0.08+L141*0.08</f>
        <v/>
      </c>
      <c r="O141" s="17">
        <f>-(K141*0.025+L141*0.025)</f>
        <v/>
      </c>
      <c r="P141" s="17">
        <f>32</f>
        <v/>
      </c>
      <c r="Q141" s="17">
        <f>J141+L141+N141+O141-P141-M141</f>
        <v/>
      </c>
    </row>
    <row r="142">
      <c r="A142" s="16" t="inlineStr">
        <is>
          <t>5.15-5.21</t>
        </is>
      </c>
      <c r="B142" s="16" t="inlineStr">
        <is>
          <t>PO-128-03939129308791577</t>
        </is>
      </c>
      <c r="C142" s="16" t="inlineStr">
        <is>
          <t>Delivered</t>
        </is>
      </c>
      <c r="D142" s="16" t="inlineStr">
        <is>
          <t>128-03939281352311577</t>
        </is>
      </c>
      <c r="E142" s="16" t="inlineStr">
        <is>
          <t>Delivered</t>
        </is>
      </c>
      <c r="F142" s="16" t="inlineStr">
        <is>
          <t>MB-184R</t>
        </is>
      </c>
      <c r="G142" s="16" t="inlineStr">
        <is>
          <t>Linkbits Portable Bluetooth Speaker - 800W Peak Power, 50W Full-Range Audio with Dual Bass System &amp; Deep Bass Membranes, Powerful &amp; Distortion-Free Sound, IP65 Waterproof Dustproof, TWS Support &amp; 6H Battery for Outdoor/Party</t>
        </is>
      </c>
      <c r="H142" s="16" t="inlineStr">
        <is>
          <t>ROJO/MB-184</t>
        </is>
      </c>
      <c r="I142" s="16" t="n">
        <v>1</v>
      </c>
      <c r="J142" s="17" t="n">
        <v>620</v>
      </c>
      <c r="K142" s="17" t="n">
        <v>729.61</v>
      </c>
      <c r="L142" s="17" t="n">
        <v>0</v>
      </c>
      <c r="M142" s="17" t="n">
        <v>0</v>
      </c>
      <c r="N142" s="17">
        <f>K142*0.08+L142*0.08</f>
        <v/>
      </c>
      <c r="O142" s="17">
        <f>-(K142*0.025+L142*0.025)</f>
        <v/>
      </c>
      <c r="P142" s="17">
        <f>32</f>
        <v/>
      </c>
      <c r="Q142" s="17">
        <f>J142+L142+N142+O142-P142-M142</f>
        <v/>
      </c>
    </row>
    <row r="143">
      <c r="A143" s="16" t="inlineStr">
        <is>
          <t>5.15-5.21</t>
        </is>
      </c>
      <c r="B143" s="16" t="inlineStr">
        <is>
          <t>PO-128-04119983514230627</t>
        </is>
      </c>
      <c r="C143" s="16" t="inlineStr">
        <is>
          <t>Delivered</t>
        </is>
      </c>
      <c r="D143" s="16" t="inlineStr">
        <is>
          <t>128-04120042496630627</t>
        </is>
      </c>
      <c r="E143" s="16" t="inlineStr">
        <is>
          <t>Delivered</t>
        </is>
      </c>
      <c r="F143" s="16" t="inlineStr">
        <is>
          <t>A500-N</t>
        </is>
      </c>
      <c r="G143" s="16" t="inlineStr">
        <is>
          <t>Bocina Bluetooth Portátil Barra de Sonido, Inalámbrica con FM Radio, TWS, USB/TF, Graves Potentes para Hogar y Exteriores</t>
        </is>
      </c>
      <c r="H143" s="16" t="inlineStr">
        <is>
          <t>NEGRO</t>
        </is>
      </c>
      <c r="I143" s="16" t="n">
        <v>2</v>
      </c>
      <c r="J143" s="17" t="n">
        <v>154.44</v>
      </c>
      <c r="K143" s="17" t="n">
        <v>132.06</v>
      </c>
      <c r="L143" s="17" t="n">
        <v>25.86</v>
      </c>
      <c r="M143" s="17" t="n">
        <v>0</v>
      </c>
      <c r="N143" s="17">
        <f>K143*0.08+L143*0.08</f>
        <v/>
      </c>
      <c r="O143" s="17">
        <f>-(K143*0.025+L143*0.025)</f>
        <v/>
      </c>
      <c r="P143" s="17">
        <f>32</f>
        <v/>
      </c>
      <c r="Q143" s="17">
        <f>J143+L143+N143+O143-P143-M143</f>
        <v/>
      </c>
    </row>
    <row r="144">
      <c r="A144" s="16" t="inlineStr">
        <is>
          <t>5.15-5.21</t>
        </is>
      </c>
      <c r="B144" s="16" t="inlineStr">
        <is>
          <t>PO-128-03962980562550475</t>
        </is>
      </c>
      <c r="C144" s="16" t="inlineStr">
        <is>
          <t>Delivered</t>
        </is>
      </c>
      <c r="D144" s="16" t="inlineStr">
        <is>
          <t>128-03962970076790475</t>
        </is>
      </c>
      <c r="E144" s="16" t="inlineStr">
        <is>
          <t>Delivered</t>
        </is>
      </c>
      <c r="F144" s="16" t="inlineStr">
        <is>
          <t>MB-183N</t>
        </is>
      </c>
      <c r="G144" s="16" t="inlineStr">
        <is>
          <t>Linkbits Altavoz Bluetooth Portátil con Stereo Inalámbrico TWS Impermeable y a Prueba de Polvo IP65 Altavoz de Graves de Rango Completo de 52mm con Doble Unidad Ligero de 215g para Camping Senderismo y Fiestas al Aire Libre</t>
        </is>
      </c>
      <c r="H144" s="16" t="inlineStr">
        <is>
          <t>NEGRO/MB-183</t>
        </is>
      </c>
      <c r="I144" s="16" t="n">
        <v>1</v>
      </c>
      <c r="J144" s="17" t="n">
        <v>95</v>
      </c>
      <c r="K144" s="17" t="n">
        <v>112.38</v>
      </c>
      <c r="L144" s="17" t="n">
        <v>25.86</v>
      </c>
      <c r="M144" s="17" t="n">
        <v>0</v>
      </c>
      <c r="N144" s="17">
        <f>K144*0.08+L144*0.08</f>
        <v/>
      </c>
      <c r="O144" s="17">
        <f>-(K144*0.025+L144*0.025)</f>
        <v/>
      </c>
      <c r="P144" s="17">
        <f>32</f>
        <v/>
      </c>
      <c r="Q144" s="17">
        <f>J144+L144+N144+O144-P144-M144</f>
        <v/>
      </c>
    </row>
    <row r="145">
      <c r="A145" s="16" t="inlineStr">
        <is>
          <t>5.15-5.21</t>
        </is>
      </c>
      <c r="B145" s="16" t="inlineStr">
        <is>
          <t>PO-128-03747673098872783</t>
        </is>
      </c>
      <c r="C145" s="16" t="inlineStr">
        <is>
          <t>Delivered</t>
        </is>
      </c>
      <c r="D145" s="16" t="inlineStr">
        <is>
          <t>128-03747631155832783</t>
        </is>
      </c>
      <c r="E145" s="16" t="inlineStr">
        <is>
          <t>Delivered</t>
        </is>
      </c>
      <c r="F145" s="16" t="inlineStr">
        <is>
          <t>A500-N</t>
        </is>
      </c>
      <c r="G145" s="16" t="inlineStr">
        <is>
          <t>Bocina Bluetooth Portátil Barra de Sonido, Inalámbrica con FM Radio, TWS, USB/TF, Graves Potentes para Hogar y Exteriores</t>
        </is>
      </c>
      <c r="H145" s="16" t="inlineStr">
        <is>
          <t>NEGRO</t>
        </is>
      </c>
      <c r="I145" s="16" t="n">
        <v>1</v>
      </c>
      <c r="J145" s="17" t="n">
        <v>77.22</v>
      </c>
      <c r="K145" s="17" t="n">
        <v>90.06999999999999</v>
      </c>
      <c r="L145" s="17" t="n">
        <v>25.86</v>
      </c>
      <c r="M145" s="17" t="n">
        <v>0</v>
      </c>
      <c r="N145" s="17">
        <f>K145*0.08+L145*0.08</f>
        <v/>
      </c>
      <c r="O145" s="17">
        <f>-(K145*0.025+L145*0.025)</f>
        <v/>
      </c>
      <c r="P145" s="17">
        <f>32</f>
        <v/>
      </c>
      <c r="Q145" s="17">
        <f>J145+L145+N145+O145-P145-M145</f>
        <v/>
      </c>
    </row>
    <row r="146">
      <c r="A146" s="16" t="inlineStr">
        <is>
          <t>5.15-5.21</t>
        </is>
      </c>
      <c r="B146" s="16" t="inlineStr">
        <is>
          <t>PO-128-04009222011510198</t>
        </is>
      </c>
      <c r="C146" s="16" t="inlineStr">
        <is>
          <t>Delivered</t>
        </is>
      </c>
      <c r="D146" s="16" t="inlineStr">
        <is>
          <t>128-04009180068470198</t>
        </is>
      </c>
      <c r="E146" s="16" t="inlineStr">
        <is>
          <t>Delivered</t>
        </is>
      </c>
      <c r="F146" s="16" t="inlineStr">
        <is>
          <t>SA320T-R</t>
        </is>
      </c>
      <c r="G146" s="16" t="inlineStr">
        <is>
          <t>Altavoz inalámbrico portátil con Luces RGB, Radio FM y Manija - 5h Duración, TWS, TF Card, Compacto y Recargable via USB，Perfecto para viajes, fiestas y gaming</t>
        </is>
      </c>
      <c r="H146" s="16" t="inlineStr">
        <is>
          <t>rojo</t>
        </is>
      </c>
      <c r="I146" s="16" t="n">
        <v>2</v>
      </c>
      <c r="J146" s="17" t="n">
        <v>126</v>
      </c>
      <c r="K146" s="17" t="n">
        <v>114.84</v>
      </c>
      <c r="L146" s="17" t="n">
        <v>12.93</v>
      </c>
      <c r="M146" s="17" t="n">
        <v>73.72</v>
      </c>
      <c r="N146" s="17">
        <f>K146*0.08+L146*0.08</f>
        <v/>
      </c>
      <c r="O146" s="17">
        <f>-(K146*0.025+L146*0.025)</f>
        <v/>
      </c>
      <c r="P146" s="17">
        <f>32</f>
        <v/>
      </c>
      <c r="Q146" s="17">
        <f>J146+L146+N146+O146-P146-M146</f>
        <v/>
      </c>
    </row>
    <row r="147">
      <c r="A147" s="16" t="inlineStr">
        <is>
          <t>5.15-5.21</t>
        </is>
      </c>
      <c r="B147" s="16" t="inlineStr">
        <is>
          <t>PO-128-03822627994231182</t>
        </is>
      </c>
      <c r="C147" s="16" t="inlineStr">
        <is>
          <t>Delivered</t>
        </is>
      </c>
      <c r="D147" s="16" t="inlineStr">
        <is>
          <t>128-03822648965751182</t>
        </is>
      </c>
      <c r="E147" s="16" t="inlineStr">
        <is>
          <t>Delivered</t>
        </is>
      </c>
      <c r="F147" s="16" t="inlineStr">
        <is>
          <t>A500-R</t>
        </is>
      </c>
      <c r="G147" s="16" t="inlineStr">
        <is>
          <t>Bocina Bluetooth Portátil Barra de Sonido, Inalámbrica con FM Radio, TWS, USB/TF, Graves Potentes para Hogar y Exteriores</t>
        </is>
      </c>
      <c r="H147" s="16" t="inlineStr">
        <is>
          <t>ROIO</t>
        </is>
      </c>
      <c r="I147" s="16" t="n">
        <v>1</v>
      </c>
      <c r="J147" s="17" t="n">
        <v>80</v>
      </c>
      <c r="K147" s="17" t="n">
        <v>90.48</v>
      </c>
      <c r="L147" s="17" t="n">
        <v>25.86</v>
      </c>
      <c r="M147" s="17" t="n">
        <v>0</v>
      </c>
      <c r="N147" s="17">
        <f>K147*0.08+L147*0.08</f>
        <v/>
      </c>
      <c r="O147" s="17">
        <f>-(K147*0.025+L147*0.025)</f>
        <v/>
      </c>
      <c r="P147" s="17">
        <f>32</f>
        <v/>
      </c>
      <c r="Q147" s="17">
        <f>J147+L147+N147+O147-P147-M147</f>
        <v/>
      </c>
    </row>
    <row r="148">
      <c r="A148" s="16" t="inlineStr">
        <is>
          <t>5.15-5.21</t>
        </is>
      </c>
      <c r="B148" s="16" t="inlineStr">
        <is>
          <t>PO-128-03667640812152298</t>
        </is>
      </c>
      <c r="C148" s="16" t="inlineStr">
        <is>
          <t>Delivered</t>
        </is>
      </c>
      <c r="D148" s="16" t="inlineStr">
        <is>
          <t>128-03667598869112298</t>
        </is>
      </c>
      <c r="E148" s="16" t="inlineStr">
        <is>
          <t>Delivered</t>
        </is>
      </c>
      <c r="F148" s="16" t="inlineStr">
        <is>
          <t>A500-N</t>
        </is>
      </c>
      <c r="G148" s="16" t="inlineStr">
        <is>
          <t>Bocina Bluetooth Portátil Barra de Sonido, Inalámbrica con FM Radio, TWS, USB/TF, Graves Potentes para Hogar y Exteriores</t>
        </is>
      </c>
      <c r="H148" s="16" t="inlineStr">
        <is>
          <t>NEGRO</t>
        </is>
      </c>
      <c r="I148" s="16" t="n">
        <v>1</v>
      </c>
      <c r="J148" s="17" t="n">
        <v>77.22</v>
      </c>
      <c r="K148" s="17" t="n">
        <v>90.06999999999999</v>
      </c>
      <c r="L148" s="17" t="n">
        <v>25.86</v>
      </c>
      <c r="M148" s="17" t="n">
        <v>0</v>
      </c>
      <c r="N148" s="17">
        <f>K148*0.08+L148*0.08</f>
        <v/>
      </c>
      <c r="O148" s="17">
        <f>-(K148*0.025+L148*0.025)</f>
        <v/>
      </c>
      <c r="P148" s="17">
        <f>32</f>
        <v/>
      </c>
      <c r="Q148" s="17">
        <f>J148+L148+N148+O148-P148-M148</f>
        <v/>
      </c>
    </row>
    <row r="149">
      <c r="A149" s="16" t="inlineStr">
        <is>
          <t>5.15-5.21</t>
        </is>
      </c>
      <c r="B149" s="16" t="inlineStr">
        <is>
          <t>PO-128-18390214477430432</t>
        </is>
      </c>
      <c r="C149" s="16" t="inlineStr">
        <is>
          <t>Delivered</t>
        </is>
      </c>
      <c r="D149" s="16" t="inlineStr">
        <is>
          <t>128-18390235448950432</t>
        </is>
      </c>
      <c r="E149" s="16" t="inlineStr">
        <is>
          <t>Delivered</t>
        </is>
      </c>
      <c r="F149" s="16" t="inlineStr">
        <is>
          <t>A500-A</t>
        </is>
      </c>
      <c r="G149" s="16" t="inlineStr">
        <is>
          <t>Bocina Bluetooth Portátil Barra de Sonido, Inalámbrica con FM Radio, TWS, USB/TF, Graves Potentes para Hogar y Exteriores</t>
        </is>
      </c>
      <c r="H149" s="16" t="inlineStr">
        <is>
          <t>AZUL</t>
        </is>
      </c>
      <c r="I149" s="16" t="n">
        <v>1</v>
      </c>
      <c r="J149" s="17" t="n">
        <v>78.88</v>
      </c>
      <c r="K149" s="17" t="n">
        <v>89.36</v>
      </c>
      <c r="L149" s="17" t="n">
        <v>25.86</v>
      </c>
      <c r="M149" s="17" t="n">
        <v>0</v>
      </c>
      <c r="N149" s="17">
        <f>K149*0.08+L149*0.08</f>
        <v/>
      </c>
      <c r="O149" s="17">
        <f>-(K149*0.025+L149*0.025)</f>
        <v/>
      </c>
      <c r="P149" s="17">
        <f>32</f>
        <v/>
      </c>
      <c r="Q149" s="17">
        <f>J149+L149+N149+O149-P149-M149</f>
        <v/>
      </c>
    </row>
    <row r="150">
      <c r="A150" s="16" t="inlineStr">
        <is>
          <t>5.15-5.21</t>
        </is>
      </c>
      <c r="B150" s="16" t="inlineStr">
        <is>
          <t>PO-128-18532713114230737</t>
        </is>
      </c>
      <c r="C150" s="16" t="inlineStr">
        <is>
          <t>Delivered</t>
        </is>
      </c>
      <c r="D150" s="16" t="inlineStr">
        <is>
          <t>128-18532700007030737</t>
        </is>
      </c>
      <c r="E150" s="16" t="inlineStr">
        <is>
          <t>Delivered</t>
        </is>
      </c>
      <c r="F150" s="16" t="inlineStr">
        <is>
          <t>A500-N</t>
        </is>
      </c>
      <c r="G150" s="16" t="inlineStr">
        <is>
          <t>Bocina Bluetooth Portátil Barra de Sonido, Inalámbrica con FM Radio, TWS, USB/TF, Graves Potentes para Hogar y Exteriores</t>
        </is>
      </c>
      <c r="H150" s="16" t="inlineStr">
        <is>
          <t>NEGRO</t>
        </is>
      </c>
      <c r="I150" s="16" t="n">
        <v>1</v>
      </c>
      <c r="J150" s="17" t="n">
        <v>77.22</v>
      </c>
      <c r="K150" s="17" t="n">
        <v>90.06999999999999</v>
      </c>
      <c r="L150" s="17" t="n">
        <v>25.86</v>
      </c>
      <c r="M150" s="17" t="n">
        <v>0</v>
      </c>
      <c r="N150" s="17">
        <f>K150*0.08+L150*0.08</f>
        <v/>
      </c>
      <c r="O150" s="17">
        <f>-(K150*0.025+L150*0.025)</f>
        <v/>
      </c>
      <c r="P150" s="17">
        <f>32</f>
        <v/>
      </c>
      <c r="Q150" s="17">
        <f>J150+L150+N150+O150-P150-M150</f>
        <v/>
      </c>
    </row>
    <row r="151">
      <c r="A151" s="16" t="inlineStr">
        <is>
          <t>5.15-5.21</t>
        </is>
      </c>
      <c r="B151" s="16" t="inlineStr">
        <is>
          <t>PO-128-18202376484472640</t>
        </is>
      </c>
      <c r="C151" s="16" t="inlineStr">
        <is>
          <t>Delivered</t>
        </is>
      </c>
      <c r="D151" s="16" t="inlineStr">
        <is>
          <t>128-18202386970232640</t>
        </is>
      </c>
      <c r="E151" s="16" t="inlineStr">
        <is>
          <t>Delivered</t>
        </is>
      </c>
      <c r="F151" s="16" t="inlineStr">
        <is>
          <t>A500-N</t>
        </is>
      </c>
      <c r="G151" s="16" t="inlineStr">
        <is>
          <t>Bocina Bluetooth Portátil Barra de Sonido, Inalámbrica con FM Radio, TWS, USB/TF, Graves Potentes para Hogar y Exteriores</t>
        </is>
      </c>
      <c r="H151" s="16" t="inlineStr">
        <is>
          <t>NEGRO</t>
        </is>
      </c>
      <c r="I151" s="16" t="n">
        <v>1</v>
      </c>
      <c r="J151" s="17" t="n">
        <v>77.22</v>
      </c>
      <c r="K151" s="17" t="n">
        <v>90.06999999999999</v>
      </c>
      <c r="L151" s="17" t="n">
        <v>25.86</v>
      </c>
      <c r="M151" s="17" t="n">
        <v>0</v>
      </c>
      <c r="N151" s="17">
        <f>K151*0.08+L151*0.08</f>
        <v/>
      </c>
      <c r="O151" s="17">
        <f>-(K151*0.025+L151*0.025)</f>
        <v/>
      </c>
      <c r="P151" s="17">
        <f>32</f>
        <v/>
      </c>
      <c r="Q151" s="17">
        <f>J151+L151+N151+O151-P151-M151</f>
        <v/>
      </c>
    </row>
    <row r="152">
      <c r="A152" s="16" t="inlineStr">
        <is>
          <t>5.15-5.21</t>
        </is>
      </c>
      <c r="B152" s="16" t="inlineStr">
        <is>
          <t>PO-128-18241392517751321</t>
        </is>
      </c>
      <c r="C152" s="16" t="inlineStr">
        <is>
          <t>Delivered</t>
        </is>
      </c>
      <c r="D152" s="16" t="inlineStr">
        <is>
          <t>128-18241497375351321</t>
        </is>
      </c>
      <c r="E152" s="16" t="inlineStr">
        <is>
          <t>Delivered</t>
        </is>
      </c>
      <c r="F152" s="16" t="inlineStr">
        <is>
          <t>A500-R</t>
        </is>
      </c>
      <c r="G152" s="16" t="inlineStr">
        <is>
          <t>Bocina Bluetooth Portátil Barra de Sonido, Inalámbrica con FM Radio, TWS, USB/TF, Graves Potentes para Hogar y Exteriores</t>
        </is>
      </c>
      <c r="H152" s="16" t="inlineStr">
        <is>
          <t>ROIO</t>
        </is>
      </c>
      <c r="I152" s="16" t="n">
        <v>1</v>
      </c>
      <c r="J152" s="17" t="n">
        <v>80</v>
      </c>
      <c r="K152" s="17" t="n">
        <v>47.38</v>
      </c>
      <c r="L152" s="17" t="n">
        <v>25.86</v>
      </c>
      <c r="M152" s="17" t="n">
        <v>0</v>
      </c>
      <c r="N152" s="17">
        <f>K152*0.08+L152*0.08</f>
        <v/>
      </c>
      <c r="O152" s="17">
        <f>-(K152*0.025+L152*0.025)</f>
        <v/>
      </c>
      <c r="P152" s="17">
        <f>32</f>
        <v/>
      </c>
      <c r="Q152" s="17">
        <f>J152+L152+N152+O152-P152-M152</f>
        <v/>
      </c>
    </row>
    <row r="153">
      <c r="A153" s="16" t="inlineStr">
        <is>
          <t>5.15-5.21</t>
        </is>
      </c>
      <c r="B153" s="16" t="inlineStr">
        <is>
          <t>PO-128-18149297214072828</t>
        </is>
      </c>
      <c r="C153" s="16" t="inlineStr">
        <is>
          <t>Delivered</t>
        </is>
      </c>
      <c r="D153" s="16" t="inlineStr">
        <is>
          <t>128-18149318185592828</t>
        </is>
      </c>
      <c r="E153" s="16" t="inlineStr">
        <is>
          <t>Delivered</t>
        </is>
      </c>
      <c r="F153" s="16" t="inlineStr">
        <is>
          <t>MB-185A</t>
        </is>
      </c>
      <c r="G153" s="16" t="inlineStr">
        <is>
          <t>Bocina Radio FM/Reproductor, Compatible con Tarjeta TF, USB, Bluetooth, Aplicable para celular, computadora, Ipad y consola</t>
        </is>
      </c>
      <c r="H153" s="16" t="inlineStr">
        <is>
          <t>AZUL/MB-185</t>
        </is>
      </c>
      <c r="I153" s="16" t="n">
        <v>1</v>
      </c>
      <c r="J153" s="17" t="n">
        <v>77.5</v>
      </c>
      <c r="K153" s="17" t="n">
        <v>90.44</v>
      </c>
      <c r="L153" s="17" t="n">
        <v>25.86</v>
      </c>
      <c r="M153" s="17" t="n">
        <v>0</v>
      </c>
      <c r="N153" s="17">
        <f>K153*0.08+L153*0.08</f>
        <v/>
      </c>
      <c r="O153" s="17">
        <f>-(K153*0.025+L153*0.025)</f>
        <v/>
      </c>
      <c r="P153" s="17">
        <f>32</f>
        <v/>
      </c>
      <c r="Q153" s="17">
        <f>J153+L153+N153+O153-P153-M153</f>
        <v/>
      </c>
    </row>
    <row r="154">
      <c r="A154" s="16" t="inlineStr">
        <is>
          <t>5.15-5.21</t>
        </is>
      </c>
      <c r="B154" s="16" t="inlineStr">
        <is>
          <t>PO-128-17912745124473214</t>
        </is>
      </c>
      <c r="C154" s="16" t="inlineStr">
        <is>
          <t>Delivered</t>
        </is>
      </c>
      <c r="D154" s="16" t="inlineStr">
        <is>
          <t>128-17912787067513214</t>
        </is>
      </c>
      <c r="E154" s="16" t="inlineStr">
        <is>
          <t>Delivered</t>
        </is>
      </c>
      <c r="F154" s="16" t="inlineStr">
        <is>
          <t>A500-N</t>
        </is>
      </c>
      <c r="G154" s="16" t="inlineStr">
        <is>
          <t>Bocina Bluetooth Portátil Barra de Sonido, Inalámbrica con FM Radio, TWS, USB/TF, Graves Potentes para Hogar y Exteriores</t>
        </is>
      </c>
      <c r="H154" s="16" t="inlineStr">
        <is>
          <t>NEGRO</t>
        </is>
      </c>
      <c r="I154" s="16" t="n">
        <v>1</v>
      </c>
      <c r="J154" s="17" t="n">
        <v>77.22</v>
      </c>
      <c r="K154" s="17" t="n">
        <v>46.97</v>
      </c>
      <c r="L154" s="17" t="n">
        <v>25.86</v>
      </c>
      <c r="M154" s="17" t="n">
        <v>0</v>
      </c>
      <c r="N154" s="17">
        <f>K154*0.08+L154*0.08</f>
        <v/>
      </c>
      <c r="O154" s="17">
        <f>-(K154*0.025+L154*0.025)</f>
        <v/>
      </c>
      <c r="P154" s="17">
        <f>32</f>
        <v/>
      </c>
      <c r="Q154" s="17">
        <f>J154+L154+N154+O154-P154-M154</f>
        <v/>
      </c>
    </row>
    <row r="155">
      <c r="A155" s="16" t="inlineStr">
        <is>
          <t>5.15-5.21</t>
        </is>
      </c>
      <c r="B155" s="16" t="inlineStr">
        <is>
          <t>PO-128-18393533512310476</t>
        </is>
      </c>
      <c r="C155" s="16" t="inlineStr">
        <is>
          <t>Delivered</t>
        </is>
      </c>
      <c r="D155" s="16" t="inlineStr">
        <is>
          <t>128-18393700301430476</t>
        </is>
      </c>
      <c r="E155" s="16" t="inlineStr">
        <is>
          <t>Delivered</t>
        </is>
      </c>
      <c r="F155" s="16" t="inlineStr">
        <is>
          <t>A500-N</t>
        </is>
      </c>
      <c r="G155" s="16" t="inlineStr">
        <is>
          <t>Bocina Bluetooth Portátil Barra de Sonido, Inalámbrica con FM Radio, TWS, USB/TF, Graves Potentes para Hogar y Exteriores</t>
        </is>
      </c>
      <c r="H155" s="16" t="inlineStr">
        <is>
          <t>NEGRO</t>
        </is>
      </c>
      <c r="I155" s="16" t="n">
        <v>1</v>
      </c>
      <c r="J155" s="17" t="n">
        <v>77.22</v>
      </c>
      <c r="K155" s="17" t="n">
        <v>90.06999999999999</v>
      </c>
      <c r="L155" s="17" t="n">
        <v>25.86</v>
      </c>
      <c r="M155" s="17" t="n">
        <v>0</v>
      </c>
      <c r="N155" s="17">
        <f>K155*0.08+L155*0.08</f>
        <v/>
      </c>
      <c r="O155" s="17">
        <f>-(K155*0.025+L155*0.025)</f>
        <v/>
      </c>
      <c r="P155" s="17">
        <f>32</f>
        <v/>
      </c>
      <c r="Q155" s="17">
        <f>J155+L155+N155+O155-P155-M155</f>
        <v/>
      </c>
    </row>
    <row r="156">
      <c r="A156" s="16" t="inlineStr">
        <is>
          <t>5.15-5.21</t>
        </is>
      </c>
      <c r="B156" s="16" t="inlineStr">
        <is>
          <t>PO-128-18470258504310917</t>
        </is>
      </c>
      <c r="C156" s="16" t="inlineStr">
        <is>
          <t>Delivered</t>
        </is>
      </c>
      <c r="D156" s="16" t="inlineStr">
        <is>
          <t>128-18470268990070917</t>
        </is>
      </c>
      <c r="E156" s="16" t="inlineStr">
        <is>
          <t>Delivered</t>
        </is>
      </c>
      <c r="F156" s="16" t="inlineStr">
        <is>
          <t>A500-A</t>
        </is>
      </c>
      <c r="G156" s="16" t="inlineStr">
        <is>
          <t>Bocina Bluetooth Portátil Barra de Sonido, Inalámbrica con FM Radio, TWS, USB/TF, Graves Potentes para Hogar y Exteriores</t>
        </is>
      </c>
      <c r="H156" s="16" t="inlineStr">
        <is>
          <t>AZUL</t>
        </is>
      </c>
      <c r="I156" s="16" t="n">
        <v>1</v>
      </c>
      <c r="J156" s="17" t="n">
        <v>78.88</v>
      </c>
      <c r="K156" s="17" t="n">
        <v>89.36</v>
      </c>
      <c r="L156" s="17" t="n">
        <v>25.86</v>
      </c>
      <c r="M156" s="17" t="n">
        <v>0</v>
      </c>
      <c r="N156" s="17">
        <f>K156*0.08+L156*0.08</f>
        <v/>
      </c>
      <c r="O156" s="17">
        <f>-(K156*0.025+L156*0.025)</f>
        <v/>
      </c>
      <c r="P156" s="17">
        <f>32</f>
        <v/>
      </c>
      <c r="Q156" s="17">
        <f>J156+L156+N156+O156-P156-M156</f>
        <v/>
      </c>
    </row>
    <row r="157">
      <c r="A157" s="16" t="inlineStr">
        <is>
          <t>5.15-5.21</t>
        </is>
      </c>
      <c r="B157" s="16" t="inlineStr">
        <is>
          <t>PO-128-18430177679990130</t>
        </is>
      </c>
      <c r="C157" s="16" t="inlineStr">
        <is>
          <t>Delivered</t>
        </is>
      </c>
      <c r="D157" s="16" t="inlineStr">
        <is>
          <t>128-18430156708470130</t>
        </is>
      </c>
      <c r="E157" s="16" t="inlineStr">
        <is>
          <t>Delivered</t>
        </is>
      </c>
      <c r="F157" s="16" t="inlineStr">
        <is>
          <t>A500-A</t>
        </is>
      </c>
      <c r="G157" s="16" t="inlineStr">
        <is>
          <t>Bocina Bluetooth Portátil Barra de Sonido, Inalámbrica con FM Radio, TWS, USB/TF, Graves Potentes para Hogar y Exteriores</t>
        </is>
      </c>
      <c r="H157" s="16" t="inlineStr">
        <is>
          <t>AZUL</t>
        </is>
      </c>
      <c r="I157" s="16" t="n">
        <v>1</v>
      </c>
      <c r="J157" s="17" t="n">
        <v>78.88</v>
      </c>
      <c r="K157" s="17" t="n">
        <v>89.36</v>
      </c>
      <c r="L157" s="17" t="n">
        <v>25.86</v>
      </c>
      <c r="M157" s="17" t="n">
        <v>0</v>
      </c>
      <c r="N157" s="17">
        <f>K157*0.08+L157*0.08</f>
        <v/>
      </c>
      <c r="O157" s="17">
        <f>-(K157*0.025+L157*0.025)</f>
        <v/>
      </c>
      <c r="P157" s="17">
        <f>32</f>
        <v/>
      </c>
      <c r="Q157" s="17">
        <f>J157+L157+N157+O157-P157-M157</f>
        <v/>
      </c>
    </row>
    <row r="158">
      <c r="A158" s="16" t="inlineStr">
        <is>
          <t>5.15-5.21</t>
        </is>
      </c>
      <c r="B158" s="16" t="inlineStr">
        <is>
          <t>PO-128-18023720945273643</t>
        </is>
      </c>
      <c r="C158" s="16" t="inlineStr">
        <is>
          <t>Delivered</t>
        </is>
      </c>
      <c r="D158" s="16" t="inlineStr">
        <is>
          <t>128-18023699973753643</t>
        </is>
      </c>
      <c r="E158" s="16" t="inlineStr">
        <is>
          <t>Delivered</t>
        </is>
      </c>
      <c r="F158" s="16" t="inlineStr">
        <is>
          <t>A500-R</t>
        </is>
      </c>
      <c r="G158" s="16" t="inlineStr">
        <is>
          <t>Bocina Bluetooth Portátil Barra de Sonido, Inalámbrica con FM Radio, TWS, USB/TF, Graves Potentes para Hogar y Exteriores</t>
        </is>
      </c>
      <c r="H158" s="16" t="inlineStr">
        <is>
          <t>ROIO</t>
        </is>
      </c>
      <c r="I158" s="16" t="n">
        <v>1</v>
      </c>
      <c r="J158" s="17" t="n">
        <v>80</v>
      </c>
      <c r="K158" s="17" t="n">
        <v>81.5</v>
      </c>
      <c r="L158" s="17" t="n">
        <v>13.02</v>
      </c>
      <c r="M158" s="17" t="n">
        <v>0</v>
      </c>
      <c r="N158" s="17">
        <f>K158*0.08+L158*0.08</f>
        <v/>
      </c>
      <c r="O158" s="17">
        <f>-(K158*0.025+L158*0.025)</f>
        <v/>
      </c>
      <c r="P158" s="17">
        <f>32</f>
        <v/>
      </c>
      <c r="Q158" s="17">
        <f>J158+L158+N158+O158-P158-M158</f>
        <v/>
      </c>
    </row>
    <row r="159">
      <c r="A159" s="16" t="inlineStr">
        <is>
          <t>5.15-5.21</t>
        </is>
      </c>
      <c r="B159" s="16" t="inlineStr">
        <is>
          <t>PO-128-18023720945273643</t>
        </is>
      </c>
      <c r="C159" s="16" t="inlineStr">
        <is>
          <t>Delivered</t>
        </is>
      </c>
      <c r="D159" s="16" t="inlineStr">
        <is>
          <t>128-18023710459513643</t>
        </is>
      </c>
      <c r="E159" s="16" t="inlineStr">
        <is>
          <t>Delivered</t>
        </is>
      </c>
      <c r="F159" s="16" t="inlineStr">
        <is>
          <t>A500-A</t>
        </is>
      </c>
      <c r="G159" s="16" t="inlineStr">
        <is>
          <t>Bocina Bluetooth Portátil Barra de Sonido, Inalámbrica con FM Radio, TWS, USB/TF, Graves Potentes para Hogar y Exteriores</t>
        </is>
      </c>
      <c r="H159" s="16" t="inlineStr">
        <is>
          <t>AZUL</t>
        </is>
      </c>
      <c r="I159" s="16" t="n">
        <v>1</v>
      </c>
      <c r="J159" s="17" t="n">
        <v>78.88</v>
      </c>
      <c r="K159" s="17" t="n">
        <v>80.47</v>
      </c>
      <c r="L159" s="17" t="n">
        <v>12.84</v>
      </c>
      <c r="M159" s="17" t="n">
        <v>0</v>
      </c>
      <c r="N159" s="17">
        <f>K159*0.08+L159*0.08</f>
        <v/>
      </c>
      <c r="O159" s="17">
        <f>-(K159*0.025+L159*0.025)</f>
        <v/>
      </c>
      <c r="P159" s="17">
        <f>32</f>
        <v/>
      </c>
      <c r="Q159" s="17">
        <f>J159+L159+N159+O159-P159-M159</f>
        <v/>
      </c>
    </row>
    <row r="160">
      <c r="A160" s="16" t="inlineStr">
        <is>
          <t>5.15-5.21</t>
        </is>
      </c>
      <c r="B160" s="16" t="inlineStr">
        <is>
          <t>PO-128-18059341071992532</t>
        </is>
      </c>
      <c r="C160" s="16" t="inlineStr">
        <is>
          <t>Delivered</t>
        </is>
      </c>
      <c r="D160" s="16" t="inlineStr">
        <is>
          <t>128-18059409229432532</t>
        </is>
      </c>
      <c r="E160" s="16" t="inlineStr">
        <is>
          <t>Delivered</t>
        </is>
      </c>
      <c r="F160" s="16" t="inlineStr">
        <is>
          <t>A500-A</t>
        </is>
      </c>
      <c r="G160" s="16" t="inlineStr">
        <is>
          <t>Bocina Bluetooth Portátil Barra de Sonido, Inalámbrica con FM Radio, TWS, USB/TF, Graves Potentes para Hogar y Exteriores</t>
        </is>
      </c>
      <c r="H160" s="16" t="inlineStr">
        <is>
          <t>AZUL</t>
        </is>
      </c>
      <c r="I160" s="16" t="n">
        <v>1</v>
      </c>
      <c r="J160" s="17" t="n">
        <v>78.88</v>
      </c>
      <c r="K160" s="17" t="n">
        <v>62.56</v>
      </c>
      <c r="L160" s="17" t="n">
        <v>25.86</v>
      </c>
      <c r="M160" s="17" t="n">
        <v>0</v>
      </c>
      <c r="N160" s="17">
        <f>K160*0.08+L160*0.08</f>
        <v/>
      </c>
      <c r="O160" s="17">
        <f>-(K160*0.025+L160*0.025)</f>
        <v/>
      </c>
      <c r="P160" s="17">
        <f>32</f>
        <v/>
      </c>
      <c r="Q160" s="17">
        <f>J160+L160+N160+O160-P160-M160</f>
        <v/>
      </c>
    </row>
    <row r="161">
      <c r="A161" s="16" t="inlineStr">
        <is>
          <t>5.15-5.21</t>
        </is>
      </c>
      <c r="B161" s="16" t="inlineStr">
        <is>
          <t>PO-128-18368004754551591</t>
        </is>
      </c>
      <c r="C161" s="16" t="inlineStr">
        <is>
          <t>Delivered</t>
        </is>
      </c>
      <c r="D161" s="16" t="inlineStr">
        <is>
          <t>128-18367962811511591</t>
        </is>
      </c>
      <c r="E161" s="16" t="inlineStr">
        <is>
          <t>Delivered</t>
        </is>
      </c>
      <c r="F161" s="16" t="inlineStr">
        <is>
          <t>A500-N</t>
        </is>
      </c>
      <c r="G161" s="16" t="inlineStr">
        <is>
          <t>Bocina Bluetooth Portátil Barra de Sonido, Inalámbrica con FM Radio, TWS, USB/TF, Graves Potentes para Hogar y Exteriores</t>
        </is>
      </c>
      <c r="H161" s="16" t="inlineStr">
        <is>
          <t>NEGRO</t>
        </is>
      </c>
      <c r="I161" s="16" t="n">
        <v>1</v>
      </c>
      <c r="J161" s="17" t="n">
        <v>77.22</v>
      </c>
      <c r="K161" s="17" t="n">
        <v>7.31</v>
      </c>
      <c r="L161" s="17" t="n">
        <v>25.86</v>
      </c>
      <c r="M161" s="17" t="n">
        <v>0</v>
      </c>
      <c r="N161" s="17">
        <f>K161*0.08+L161*0.08</f>
        <v/>
      </c>
      <c r="O161" s="17">
        <f>-(K161*0.025+L161*0.025)</f>
        <v/>
      </c>
      <c r="P161" s="17">
        <f>32</f>
        <v/>
      </c>
      <c r="Q161" s="17">
        <f>J161+L161+N161+O161-P161-M161</f>
        <v/>
      </c>
    </row>
    <row r="162">
      <c r="A162" s="16" t="inlineStr">
        <is>
          <t>5.15-5.21</t>
        </is>
      </c>
      <c r="B162" s="16" t="inlineStr">
        <is>
          <t>PO-128-18075800545912370</t>
        </is>
      </c>
      <c r="C162" s="16" t="inlineStr">
        <is>
          <t>Delivered</t>
        </is>
      </c>
      <c r="D162" s="16" t="inlineStr">
        <is>
          <t>128-18075784817272370</t>
        </is>
      </c>
      <c r="E162" s="16" t="inlineStr">
        <is>
          <t>Delivered</t>
        </is>
      </c>
      <c r="F162" s="16" t="inlineStr">
        <is>
          <t>MB-183N</t>
        </is>
      </c>
      <c r="G162" s="16" t="inlineStr">
        <is>
          <t>Linkbits Altavoz Bluetooth Portátil con Stereo Inalámbrico TWS Impermeable y a Prueba de Polvo IP65 Altavoz de Graves de Rango Completo de 52mm con Doble Unidad Ligero de 215g para Camping Senderismo y Fiestas al Aire Libre</t>
        </is>
      </c>
      <c r="H162" s="16" t="inlineStr">
        <is>
          <t>NEGRO/MB-183</t>
        </is>
      </c>
      <c r="I162" s="16" t="n">
        <v>1</v>
      </c>
      <c r="J162" s="17" t="n">
        <v>95</v>
      </c>
      <c r="K162" s="17" t="n">
        <v>82.84999999999999</v>
      </c>
      <c r="L162" s="17" t="n">
        <v>25.86</v>
      </c>
      <c r="M162" s="17" t="n">
        <v>0</v>
      </c>
      <c r="N162" s="17">
        <f>K162*0.08+L162*0.08</f>
        <v/>
      </c>
      <c r="O162" s="17">
        <f>-(K162*0.025+L162*0.025)</f>
        <v/>
      </c>
      <c r="P162" s="17">
        <f>32</f>
        <v/>
      </c>
      <c r="Q162" s="17">
        <f>J162+L162+N162+O162-P162-M162</f>
        <v/>
      </c>
    </row>
    <row r="163">
      <c r="A163" s="16" t="inlineStr">
        <is>
          <t>5.15-5.21</t>
        </is>
      </c>
      <c r="B163" s="16" t="inlineStr">
        <is>
          <t>PO-128-18551967119990620</t>
        </is>
      </c>
      <c r="C163" s="16" t="inlineStr">
        <is>
          <t>Delivered</t>
        </is>
      </c>
      <c r="D163" s="16" t="inlineStr">
        <is>
          <t>128-18552009063030620</t>
        </is>
      </c>
      <c r="E163" s="16" t="inlineStr">
        <is>
          <t>Delivered</t>
        </is>
      </c>
      <c r="F163" s="16" t="inlineStr">
        <is>
          <t>A500-A</t>
        </is>
      </c>
      <c r="G163" s="16" t="inlineStr">
        <is>
          <t>Bocina Bluetooth Portátil Barra de Sonido, Inalámbrica con FM Radio, TWS, USB/TF, Graves Potentes para Hogar y Exteriores</t>
        </is>
      </c>
      <c r="H163" s="16" t="inlineStr">
        <is>
          <t>AZUL</t>
        </is>
      </c>
      <c r="I163" s="16" t="n">
        <v>1</v>
      </c>
      <c r="J163" s="17" t="n">
        <v>78.88</v>
      </c>
      <c r="K163" s="17" t="n">
        <v>3.15</v>
      </c>
      <c r="L163" s="17" t="n">
        <v>25.86</v>
      </c>
      <c r="M163" s="17" t="n">
        <v>0</v>
      </c>
      <c r="N163" s="17">
        <f>K163*0.08+L163*0.08</f>
        <v/>
      </c>
      <c r="O163" s="17">
        <f>-(K163*0.025+L163*0.025)</f>
        <v/>
      </c>
      <c r="P163" s="17">
        <f>32</f>
        <v/>
      </c>
      <c r="Q163" s="17">
        <f>J163+L163+N163+O163-P163-M163</f>
        <v/>
      </c>
    </row>
    <row r="164">
      <c r="A164" s="16" t="inlineStr">
        <is>
          <t>5.15-5.21</t>
        </is>
      </c>
      <c r="B164" s="16" t="inlineStr">
        <is>
          <t>PO-128-18110614702712101</t>
        </is>
      </c>
      <c r="C164" s="16" t="inlineStr">
        <is>
          <t>Delivered</t>
        </is>
      </c>
      <c r="D164" s="16" t="inlineStr">
        <is>
          <t>128-18110557031032101</t>
        </is>
      </c>
      <c r="E164" s="16" t="inlineStr">
        <is>
          <t>Delivered</t>
        </is>
      </c>
      <c r="F164" s="16" t="inlineStr">
        <is>
          <t>MB-183B</t>
        </is>
      </c>
      <c r="G164" s="16" t="inlineStr">
        <is>
          <t>Linkbits Altavoz Bluetooth Portátil con Stereo Inalámbrico TWS Impermeable y a Prueba de Polvo IP65 Altavoz de Graves de Rango Completo de 52mm con Doble Unidad Ligero de 215g para Camping Senderismo y Fiestas al Aire Libre</t>
        </is>
      </c>
      <c r="H164" s="16" t="inlineStr">
        <is>
          <t>AZUL/MB-183</t>
        </is>
      </c>
      <c r="I164" s="16" t="n">
        <v>1</v>
      </c>
      <c r="J164" s="17" t="n">
        <v>90</v>
      </c>
      <c r="K164" s="17" t="n">
        <v>98.76000000000001</v>
      </c>
      <c r="L164" s="17" t="n">
        <v>25.86</v>
      </c>
      <c r="M164" s="17" t="n">
        <v>0</v>
      </c>
      <c r="N164" s="17">
        <f>K164*0.08+L164*0.08</f>
        <v/>
      </c>
      <c r="O164" s="17">
        <f>-(K164*0.025+L164*0.025)</f>
        <v/>
      </c>
      <c r="P164" s="17">
        <f>32</f>
        <v/>
      </c>
      <c r="Q164" s="17">
        <f>J164+L164+N164+O164-P164-M164</f>
        <v/>
      </c>
    </row>
    <row r="165">
      <c r="A165" s="16" t="inlineStr">
        <is>
          <t>5.15-5.21</t>
        </is>
      </c>
      <c r="B165" s="16" t="inlineStr">
        <is>
          <t>PO-128-18241450327671321</t>
        </is>
      </c>
      <c r="C165" s="16" t="inlineStr">
        <is>
          <t>Delivered</t>
        </is>
      </c>
      <c r="D165" s="16" t="inlineStr">
        <is>
          <t>128-18241526349431321</t>
        </is>
      </c>
      <c r="E165" s="16" t="inlineStr">
        <is>
          <t>Delivered</t>
        </is>
      </c>
      <c r="F165" s="16" t="inlineStr">
        <is>
          <t>A500-A</t>
        </is>
      </c>
      <c r="G165" s="16" t="inlineStr">
        <is>
          <t>Bocina Bluetooth Portátil Barra de Sonido, Inalámbrica con FM Radio, TWS, USB/TF, Graves Potentes para Hogar y Exteriores</t>
        </is>
      </c>
      <c r="H165" s="16" t="inlineStr">
        <is>
          <t>AZUL</t>
        </is>
      </c>
      <c r="I165" s="16" t="n">
        <v>1</v>
      </c>
      <c r="J165" s="17" t="n">
        <v>78.88</v>
      </c>
      <c r="K165" s="17" t="n">
        <v>46.26</v>
      </c>
      <c r="L165" s="17" t="n">
        <v>25.86</v>
      </c>
      <c r="M165" s="17" t="n">
        <v>0</v>
      </c>
      <c r="N165" s="17">
        <f>K165*0.08+L165*0.08</f>
        <v/>
      </c>
      <c r="O165" s="17">
        <f>-(K165*0.025+L165*0.025)</f>
        <v/>
      </c>
      <c r="P165" s="17">
        <f>32</f>
        <v/>
      </c>
      <c r="Q165" s="17">
        <f>J165+L165+N165+O165-P165-M165</f>
        <v/>
      </c>
    </row>
    <row r="166">
      <c r="A166" s="16" t="inlineStr">
        <is>
          <t>5.15-5.21</t>
        </is>
      </c>
      <c r="B166" s="16" t="inlineStr">
        <is>
          <t>PO-128-18238080246391341</t>
        </is>
      </c>
      <c r="C166" s="16" t="inlineStr">
        <is>
          <t>Delivered</t>
        </is>
      </c>
      <c r="D166" s="16" t="inlineStr">
        <is>
          <t>128-18238038303351341</t>
        </is>
      </c>
      <c r="E166" s="16" t="inlineStr">
        <is>
          <t>Delivered</t>
        </is>
      </c>
      <c r="F166" s="16" t="inlineStr">
        <is>
          <t>A500-R</t>
        </is>
      </c>
      <c r="G166" s="16" t="inlineStr">
        <is>
          <t>Bocina Bluetooth Portátil Barra de Sonido, Inalámbrica con FM Radio, TWS, USB/TF, Graves Potentes para Hogar y Exteriores</t>
        </is>
      </c>
      <c r="H166" s="16" t="inlineStr">
        <is>
          <t>ROIO</t>
        </is>
      </c>
      <c r="I166" s="16" t="n">
        <v>1</v>
      </c>
      <c r="J166" s="17" t="n">
        <v>78</v>
      </c>
      <c r="K166" s="17" t="n">
        <v>88.48</v>
      </c>
      <c r="L166" s="17" t="n">
        <v>25.86</v>
      </c>
      <c r="M166" s="17" t="n">
        <v>0</v>
      </c>
      <c r="N166" s="17">
        <f>K166*0.08+L166*0.08</f>
        <v/>
      </c>
      <c r="O166" s="17">
        <f>-(K166*0.025+L166*0.025)</f>
        <v/>
      </c>
      <c r="P166" s="17">
        <f>32</f>
        <v/>
      </c>
      <c r="Q166" s="17">
        <f>J166+L166+N166+O166-P166-M166</f>
        <v/>
      </c>
    </row>
    <row r="167">
      <c r="A167" s="16" t="inlineStr">
        <is>
          <t>5.15-5.21</t>
        </is>
      </c>
      <c r="B167" s="16" t="inlineStr">
        <is>
          <t>PO-128-18020516352633596</t>
        </is>
      </c>
      <c r="C167" s="16" t="inlineStr">
        <is>
          <t>Delivered</t>
        </is>
      </c>
      <c r="D167" s="16" t="inlineStr">
        <is>
          <t>128-18020537324153596</t>
        </is>
      </c>
      <c r="E167" s="16" t="inlineStr">
        <is>
          <t>Delivered</t>
        </is>
      </c>
      <c r="F167" s="16" t="inlineStr">
        <is>
          <t>A500-N</t>
        </is>
      </c>
      <c r="G167" s="16" t="inlineStr">
        <is>
          <t>Bocina Bluetooth Portátil Barra de Sonido, Inalámbrica con FM Radio, TWS, USB/TF, Graves Potentes para Hogar y Exteriores</t>
        </is>
      </c>
      <c r="H167" s="16" t="inlineStr">
        <is>
          <t>NEGRO</t>
        </is>
      </c>
      <c r="I167" s="16" t="n">
        <v>1</v>
      </c>
      <c r="J167" s="17" t="n">
        <v>77.22</v>
      </c>
      <c r="K167" s="17" t="n">
        <v>90.06999999999999</v>
      </c>
      <c r="L167" s="17" t="n">
        <v>25.86</v>
      </c>
      <c r="M167" s="17" t="n">
        <v>0</v>
      </c>
      <c r="N167" s="17">
        <f>K167*0.08+L167*0.08</f>
        <v/>
      </c>
      <c r="O167" s="17">
        <f>-(K167*0.025+L167*0.025)</f>
        <v/>
      </c>
      <c r="P167" s="17">
        <f>32</f>
        <v/>
      </c>
      <c r="Q167" s="17">
        <f>J167+L167+N167+O167-P167-M167</f>
        <v/>
      </c>
    </row>
    <row r="168">
      <c r="A168" s="16" t="inlineStr">
        <is>
          <t>5.15-5.21</t>
        </is>
      </c>
      <c r="B168" s="16" t="inlineStr">
        <is>
          <t>PO-128-18359945749111767</t>
        </is>
      </c>
      <c r="C168" s="16" t="inlineStr">
        <is>
          <t>Delivered</t>
        </is>
      </c>
      <c r="D168" s="16" t="inlineStr">
        <is>
          <t>128-18359903806071767</t>
        </is>
      </c>
      <c r="E168" s="16" t="inlineStr">
        <is>
          <t>Delivered</t>
        </is>
      </c>
      <c r="F168" s="16" t="inlineStr">
        <is>
          <t>MB-184N</t>
        </is>
      </c>
      <c r="G168" s="16" t="inlineStr">
        <is>
          <t>Linkbits Portable Bluetooth Speaker - 800W Peak Power, 50W Full-Range Audio with Dual Bass System &amp; Deep Bass Membranes, Powerful &amp; Distortion-Free Sound, IP65 Waterproof Dustproof, TWS Support &amp; 6H Battery for Outdoor/Party</t>
        </is>
      </c>
      <c r="H168" s="16" t="inlineStr">
        <is>
          <t>NEGRO/MB-184</t>
        </is>
      </c>
      <c r="I168" s="16" t="n">
        <v>1</v>
      </c>
      <c r="J168" s="17" t="n">
        <v>588.0599999999999</v>
      </c>
      <c r="K168" s="17" t="n">
        <v>697.67</v>
      </c>
      <c r="L168" s="17" t="n">
        <v>0</v>
      </c>
      <c r="M168" s="17" t="n">
        <v>0</v>
      </c>
      <c r="N168" s="17">
        <f>K168*0.08+L168*0.08</f>
        <v/>
      </c>
      <c r="O168" s="17">
        <f>-(K168*0.025+L168*0.025)</f>
        <v/>
      </c>
      <c r="P168" s="17">
        <f>32</f>
        <v/>
      </c>
      <c r="Q168" s="17">
        <f>J168+L168+N168+O168-P168-M168</f>
        <v/>
      </c>
    </row>
    <row r="169">
      <c r="A169" s="16" t="inlineStr">
        <is>
          <t>5.15-5.21</t>
        </is>
      </c>
      <c r="B169" s="16" t="inlineStr">
        <is>
          <t>PO-128-18211542410871435</t>
        </is>
      </c>
      <c r="C169" s="16" t="inlineStr">
        <is>
          <t>Delivered</t>
        </is>
      </c>
      <c r="D169" s="16" t="inlineStr">
        <is>
          <t>128-18211520947831435</t>
        </is>
      </c>
      <c r="E169" s="16" t="inlineStr">
        <is>
          <t>Delivered</t>
        </is>
      </c>
      <c r="F169" s="16" t="inlineStr">
        <is>
          <t>A500-A</t>
        </is>
      </c>
      <c r="G169" s="16" t="inlineStr">
        <is>
          <t>Bocina Bluetooth Portátil Barra de Sonido, Inalámbrica con FM Radio, TWS, USB/TF, Graves Potentes para Hogar y Exteriores</t>
        </is>
      </c>
      <c r="H169" s="16" t="inlineStr">
        <is>
          <t>AZUL</t>
        </is>
      </c>
      <c r="I169" s="16" t="n">
        <v>1</v>
      </c>
      <c r="J169" s="17" t="n">
        <v>75</v>
      </c>
      <c r="K169" s="17" t="n">
        <v>85.48</v>
      </c>
      <c r="L169" s="17" t="n">
        <v>25.86</v>
      </c>
      <c r="M169" s="17" t="n">
        <v>0</v>
      </c>
      <c r="N169" s="17">
        <f>K169*0.08+L169*0.08</f>
        <v/>
      </c>
      <c r="O169" s="17">
        <f>-(K169*0.025+L169*0.025)</f>
        <v/>
      </c>
      <c r="P169" s="17">
        <f>32</f>
        <v/>
      </c>
      <c r="Q169" s="17">
        <f>J169+L169+N169+O169-P169-M169</f>
        <v/>
      </c>
    </row>
    <row r="170">
      <c r="A170" s="16" t="inlineStr">
        <is>
          <t>5.15-5.21</t>
        </is>
      </c>
      <c r="B170" s="16" t="inlineStr">
        <is>
          <t>PO-128-17977770916473853</t>
        </is>
      </c>
      <c r="C170" s="16" t="inlineStr">
        <is>
          <t>Delivered</t>
        </is>
      </c>
      <c r="D170" s="16" t="inlineStr">
        <is>
          <t>128-17977781402233853</t>
        </is>
      </c>
      <c r="E170" s="16" t="inlineStr">
        <is>
          <t>Delivered</t>
        </is>
      </c>
      <c r="F170" s="16" t="inlineStr">
        <is>
          <t>A500-N</t>
        </is>
      </c>
      <c r="G170" s="16" t="inlineStr">
        <is>
          <t>Bocina Bluetooth Portátil Barra de Sonido, Inalámbrica con FM Radio, TWS, USB/TF, Graves Potentes para Hogar y Exteriores</t>
        </is>
      </c>
      <c r="H170" s="16" t="inlineStr">
        <is>
          <t>NEGRO</t>
        </is>
      </c>
      <c r="I170" s="16" t="n">
        <v>1</v>
      </c>
      <c r="J170" s="17" t="n">
        <v>77.22</v>
      </c>
      <c r="K170" s="17" t="n">
        <v>75.48</v>
      </c>
      <c r="L170" s="17" t="n">
        <v>25.86</v>
      </c>
      <c r="M170" s="17" t="n">
        <v>0</v>
      </c>
      <c r="N170" s="17">
        <f>K170*0.08+L170*0.08</f>
        <v/>
      </c>
      <c r="O170" s="17">
        <f>-(K170*0.025+L170*0.025)</f>
        <v/>
      </c>
      <c r="P170" s="17">
        <f>32</f>
        <v/>
      </c>
      <c r="Q170" s="17">
        <f>J170+L170+N170+O170-P170-M170</f>
        <v/>
      </c>
    </row>
    <row r="171">
      <c r="A171" s="16" t="inlineStr">
        <is>
          <t>5.15-5.21</t>
        </is>
      </c>
      <c r="B171" s="16" t="inlineStr">
        <is>
          <t>PO-128-18450903025270009</t>
        </is>
      </c>
      <c r="C171" s="16" t="inlineStr">
        <is>
          <t>Delivered</t>
        </is>
      </c>
      <c r="D171" s="16" t="inlineStr">
        <is>
          <t>128-18450861082230009</t>
        </is>
      </c>
      <c r="E171" s="16" t="inlineStr">
        <is>
          <t>Delivered</t>
        </is>
      </c>
      <c r="F171" s="16" t="inlineStr">
        <is>
          <t>A500-N</t>
        </is>
      </c>
      <c r="G171" s="16" t="inlineStr">
        <is>
          <t>Bocina Bluetooth Portátil Barra de Sonido, Inalámbrica con FM Radio, TWS, USB/TF, Graves Potentes para Hogar y Exteriores</t>
        </is>
      </c>
      <c r="H171" s="16" t="inlineStr">
        <is>
          <t>NEGRO</t>
        </is>
      </c>
      <c r="I171" s="16" t="n">
        <v>1</v>
      </c>
      <c r="J171" s="17" t="n">
        <v>77.22</v>
      </c>
      <c r="K171" s="17" t="n">
        <v>90.06999999999999</v>
      </c>
      <c r="L171" s="17" t="n">
        <v>25.86</v>
      </c>
      <c r="M171" s="17" t="n">
        <v>0</v>
      </c>
      <c r="N171" s="17">
        <f>K171*0.08+L171*0.08</f>
        <v/>
      </c>
      <c r="O171" s="17">
        <f>-(K171*0.025+L171*0.025)</f>
        <v/>
      </c>
      <c r="P171" s="17">
        <f>32</f>
        <v/>
      </c>
      <c r="Q171" s="17">
        <f>J171+L171+N171+O171-P171-M171</f>
        <v/>
      </c>
    </row>
    <row r="172">
      <c r="A172" s="16" t="inlineStr">
        <is>
          <t>5.15-5.21</t>
        </is>
      </c>
      <c r="B172" s="16" t="inlineStr">
        <is>
          <t>PO-128-18427597927030147</t>
        </is>
      </c>
      <c r="C172" s="16" t="inlineStr">
        <is>
          <t>Delivered</t>
        </is>
      </c>
      <c r="D172" s="16" t="inlineStr">
        <is>
          <t>128-18427749970550147</t>
        </is>
      </c>
      <c r="E172" s="16" t="inlineStr">
        <is>
          <t>Delivered</t>
        </is>
      </c>
      <c r="F172" s="16" t="inlineStr">
        <is>
          <t>SA320T-A</t>
        </is>
      </c>
      <c r="G172" s="16" t="inlineStr">
        <is>
          <t>Altavoz inalámbrico portátil con Luces RGB, Radio FM y Manija - 5h Duración, TWS, TF Card, Compacto y Recargable via USB，Perfecto para viajes, fiestas y gaming</t>
        </is>
      </c>
      <c r="H172" s="16" t="inlineStr">
        <is>
          <t>azul</t>
        </is>
      </c>
      <c r="I172" s="16" t="n">
        <v>1</v>
      </c>
      <c r="J172" s="17" t="n">
        <v>54</v>
      </c>
      <c r="K172" s="17" t="n">
        <v>64.72</v>
      </c>
      <c r="L172" s="17" t="n">
        <v>25.86</v>
      </c>
      <c r="M172" s="17" t="n">
        <v>0</v>
      </c>
      <c r="N172" s="17">
        <f>K172*0.08+L172*0.08</f>
        <v/>
      </c>
      <c r="O172" s="17">
        <f>-(K172*0.025+L172*0.025)</f>
        <v/>
      </c>
      <c r="P172" s="17">
        <f>32</f>
        <v/>
      </c>
      <c r="Q172" s="17">
        <f>J172+L172+N172+O172-P172-M172</f>
        <v/>
      </c>
    </row>
    <row r="173">
      <c r="A173" s="16" t="inlineStr">
        <is>
          <t>5.15-5.21</t>
        </is>
      </c>
      <c r="B173" s="16" t="inlineStr">
        <is>
          <t>PO-128-18172445624952690</t>
        </is>
      </c>
      <c r="C173" s="16" t="inlineStr">
        <is>
          <t>Delivered</t>
        </is>
      </c>
      <c r="D173" s="16" t="inlineStr">
        <is>
          <t>128-18172435139192690</t>
        </is>
      </c>
      <c r="E173" s="16" t="inlineStr">
        <is>
          <t>Delivered</t>
        </is>
      </c>
      <c r="F173" s="16" t="inlineStr">
        <is>
          <t>A500-R</t>
        </is>
      </c>
      <c r="G173" s="16" t="inlineStr">
        <is>
          <t>Bocina Bluetooth Portátil Barra de Sonido, Inalámbrica con FM Radio, TWS, USB/TF, Graves Potentes para Hogar y Exteriores</t>
        </is>
      </c>
      <c r="H173" s="16" t="inlineStr">
        <is>
          <t>ROIO</t>
        </is>
      </c>
      <c r="I173" s="16" t="n">
        <v>1</v>
      </c>
      <c r="J173" s="17" t="n">
        <v>78</v>
      </c>
      <c r="K173" s="17" t="n">
        <v>67.44</v>
      </c>
      <c r="L173" s="17" t="n">
        <v>25.86</v>
      </c>
      <c r="M173" s="17" t="n">
        <v>2.64</v>
      </c>
      <c r="N173" s="17">
        <f>K173*0.08+L173*0.08</f>
        <v/>
      </c>
      <c r="O173" s="17">
        <f>-(K173*0.025+L173*0.025)</f>
        <v/>
      </c>
      <c r="P173" s="17">
        <f>32</f>
        <v/>
      </c>
      <c r="Q173" s="17">
        <f>J173+L173+N173+O173-P173-M173</f>
        <v/>
      </c>
    </row>
    <row r="174">
      <c r="A174" s="16" t="inlineStr">
        <is>
          <t>5.15-5.21</t>
        </is>
      </c>
      <c r="B174" s="16" t="inlineStr">
        <is>
          <t>PO-128-18524347730550723</t>
        </is>
      </c>
      <c r="C174" s="16" t="inlineStr">
        <is>
          <t>Delivered</t>
        </is>
      </c>
      <c r="D174" s="16" t="inlineStr">
        <is>
          <t>128-18524368702070723</t>
        </is>
      </c>
      <c r="E174" s="16" t="inlineStr">
        <is>
          <t>Delivered</t>
        </is>
      </c>
      <c r="F174" s="16" t="inlineStr">
        <is>
          <t>A500-R</t>
        </is>
      </c>
      <c r="G174" s="16" t="inlineStr">
        <is>
          <t>Bocina Bluetooth Portátil Barra de Sonido, Inalámbrica con FM Radio, TWS, USB/TF, Graves Potentes para Hogar y Exteriores</t>
        </is>
      </c>
      <c r="H174" s="16" t="inlineStr">
        <is>
          <t>ROIO</t>
        </is>
      </c>
      <c r="I174" s="16" t="n">
        <v>1</v>
      </c>
      <c r="J174" s="17" t="n">
        <v>78</v>
      </c>
      <c r="K174" s="17" t="n">
        <v>88.48</v>
      </c>
      <c r="L174" s="17" t="n">
        <v>25.86</v>
      </c>
      <c r="M174" s="17" t="n">
        <v>0</v>
      </c>
      <c r="N174" s="17">
        <f>K174*0.08+L174*0.08</f>
        <v/>
      </c>
      <c r="O174" s="17">
        <f>-(K174*0.025+L174*0.025)</f>
        <v/>
      </c>
      <c r="P174" s="17">
        <f>32</f>
        <v/>
      </c>
      <c r="Q174" s="17">
        <f>J174+L174+N174+O174-P174-M174</f>
        <v/>
      </c>
    </row>
    <row r="175">
      <c r="A175" s="16" t="inlineStr">
        <is>
          <t>5.15-5.21</t>
        </is>
      </c>
      <c r="B175" s="16" t="inlineStr">
        <is>
          <t>PO-128-18243216538231372</t>
        </is>
      </c>
      <c r="C175" s="16" t="inlineStr">
        <is>
          <t>Delivered</t>
        </is>
      </c>
      <c r="D175" s="16" t="inlineStr">
        <is>
          <t>128-18243368581751372</t>
        </is>
      </c>
      <c r="E175" s="16" t="inlineStr">
        <is>
          <t>Delivered</t>
        </is>
      </c>
      <c r="F175" s="16" t="inlineStr">
        <is>
          <t>A500-A</t>
        </is>
      </c>
      <c r="G175" s="16" t="inlineStr">
        <is>
          <t>Bocina Bluetooth Portátil Barra de Sonido, Inalámbrica con FM Radio, TWS, USB/TF, Graves Potentes para Hogar y Exteriores</t>
        </is>
      </c>
      <c r="H175" s="16" t="inlineStr">
        <is>
          <t>AZUL</t>
        </is>
      </c>
      <c r="I175" s="16" t="n">
        <v>1</v>
      </c>
      <c r="J175" s="17" t="n">
        <v>75</v>
      </c>
      <c r="K175" s="17" t="n">
        <v>2.72</v>
      </c>
      <c r="L175" s="17" t="n">
        <v>25.86</v>
      </c>
      <c r="M175" s="17" t="n">
        <v>0</v>
      </c>
      <c r="N175" s="17">
        <f>K175*0.08+L175*0.08</f>
        <v/>
      </c>
      <c r="O175" s="17">
        <f>-(K175*0.025+L175*0.025)</f>
        <v/>
      </c>
      <c r="P175" s="17">
        <f>32</f>
        <v/>
      </c>
      <c r="Q175" s="17">
        <f>J175+L175+N175+O175-P175-M175</f>
        <v/>
      </c>
    </row>
    <row r="176">
      <c r="A176" s="16" t="inlineStr">
        <is>
          <t>5.15-5.21</t>
        </is>
      </c>
      <c r="B176" s="16" t="inlineStr">
        <is>
          <t>PO-128-18095959552632250</t>
        </is>
      </c>
      <c r="C176" s="16" t="inlineStr">
        <is>
          <t>Delivered</t>
        </is>
      </c>
      <c r="D176" s="16" t="inlineStr">
        <is>
          <t>128-18096001495672250</t>
        </is>
      </c>
      <c r="E176" s="16" t="inlineStr">
        <is>
          <t>Delivered</t>
        </is>
      </c>
      <c r="F176" s="16" t="inlineStr">
        <is>
          <t>MB-185N</t>
        </is>
      </c>
      <c r="G176" s="16" t="inlineStr">
        <is>
          <t>Bocina Radio FM/Reproductor, Compatible con Tarjeta TF, USB, Bluetooth, Aplicable para celular, computadora, Ipad y consola</t>
        </is>
      </c>
      <c r="H176" s="16" t="inlineStr">
        <is>
          <t>NEGRO/MB-185</t>
        </is>
      </c>
      <c r="I176" s="16" t="n">
        <v>1</v>
      </c>
      <c r="J176" s="17" t="n">
        <v>66</v>
      </c>
      <c r="K176" s="17" t="n">
        <v>78.94</v>
      </c>
      <c r="L176" s="17" t="n">
        <v>25.86</v>
      </c>
      <c r="M176" s="17" t="n">
        <v>0</v>
      </c>
      <c r="N176" s="17">
        <f>K176*0.08+L176*0.08</f>
        <v/>
      </c>
      <c r="O176" s="17">
        <f>-(K176*0.025+L176*0.025)</f>
        <v/>
      </c>
      <c r="P176" s="17">
        <f>32</f>
        <v/>
      </c>
      <c r="Q176" s="17">
        <f>J176+L176+N176+O176-P176-M176</f>
        <v/>
      </c>
    </row>
    <row r="177">
      <c r="A177" s="16" t="inlineStr">
        <is>
          <t>5.15-5.21</t>
        </is>
      </c>
      <c r="B177" s="16" t="inlineStr">
        <is>
          <t>PO-128-18201049784952648</t>
        </is>
      </c>
      <c r="C177" s="16" t="inlineStr">
        <is>
          <t>Delivered</t>
        </is>
      </c>
      <c r="D177" s="16" t="inlineStr">
        <is>
          <t>128-18201081242232648</t>
        </is>
      </c>
      <c r="E177" s="16" t="inlineStr">
        <is>
          <t>Delivered</t>
        </is>
      </c>
      <c r="F177" s="16" t="inlineStr">
        <is>
          <t>A500-N</t>
        </is>
      </c>
      <c r="G177" s="16" t="inlineStr">
        <is>
          <t>Bocina Bluetooth Portátil Barra de Sonido, Inalámbrica con FM Radio, TWS, USB/TF, Graves Potentes para Hogar y Exteriores</t>
        </is>
      </c>
      <c r="H177" s="16" t="inlineStr">
        <is>
          <t>NEGRO</t>
        </is>
      </c>
      <c r="I177" s="16" t="n">
        <v>1</v>
      </c>
      <c r="J177" s="17" t="n">
        <v>77.22</v>
      </c>
      <c r="K177" s="17" t="n">
        <v>90.06999999999999</v>
      </c>
      <c r="L177" s="17" t="n">
        <v>25.86</v>
      </c>
      <c r="M177" s="17" t="n">
        <v>0</v>
      </c>
      <c r="N177" s="17">
        <f>K177*0.08+L177*0.08</f>
        <v/>
      </c>
      <c r="O177" s="17">
        <f>-(K177*0.025+L177*0.025)</f>
        <v/>
      </c>
      <c r="P177" s="17">
        <f>32</f>
        <v/>
      </c>
      <c r="Q177" s="17">
        <f>J177+L177+N177+O177-P177-M177</f>
        <v/>
      </c>
    </row>
    <row r="178">
      <c r="A178" s="16" t="inlineStr">
        <is>
          <t>5.15-5.21</t>
        </is>
      </c>
      <c r="B178" s="16" t="inlineStr">
        <is>
          <t>PO-128-17919707351673239</t>
        </is>
      </c>
      <c r="C178" s="16" t="inlineStr">
        <is>
          <t>Delivered</t>
        </is>
      </c>
      <c r="D178" s="16" t="inlineStr">
        <is>
          <t>128-17919665408633239</t>
        </is>
      </c>
      <c r="E178" s="16" t="inlineStr">
        <is>
          <t>Delivered</t>
        </is>
      </c>
      <c r="F178" s="16" t="inlineStr">
        <is>
          <t>A500-A</t>
        </is>
      </c>
      <c r="G178" s="16" t="inlineStr">
        <is>
          <t>Bocina Bluetooth Portátil Barra de Sonido, Inalámbrica con FM Radio, TWS, USB/TF, Graves Potentes para Hogar y Exteriores</t>
        </is>
      </c>
      <c r="H178" s="16" t="inlineStr">
        <is>
          <t>AZUL</t>
        </is>
      </c>
      <c r="I178" s="16" t="n">
        <v>1</v>
      </c>
      <c r="J178" s="17" t="n">
        <v>75</v>
      </c>
      <c r="K178" s="17" t="n">
        <v>85.48</v>
      </c>
      <c r="L178" s="17" t="n">
        <v>25.86</v>
      </c>
      <c r="M178" s="17" t="n">
        <v>0</v>
      </c>
      <c r="N178" s="17">
        <f>K178*0.08+L178*0.08</f>
        <v/>
      </c>
      <c r="O178" s="17">
        <f>-(K178*0.025+L178*0.025)</f>
        <v/>
      </c>
      <c r="P178" s="17">
        <f>32</f>
        <v/>
      </c>
      <c r="Q178" s="17">
        <f>J178+L178+N178+O178-P178-M178</f>
        <v/>
      </c>
    </row>
    <row r="179">
      <c r="A179" s="16" t="inlineStr">
        <is>
          <t>5.15-5.21</t>
        </is>
      </c>
      <c r="B179" s="16" t="inlineStr">
        <is>
          <t>PO-128-18215106857591412</t>
        </is>
      </c>
      <c r="C179" s="16" t="inlineStr">
        <is>
          <t>Delivered</t>
        </is>
      </c>
      <c r="D179" s="16" t="inlineStr">
        <is>
          <t>128-18215085886071412</t>
        </is>
      </c>
      <c r="E179" s="16" t="inlineStr">
        <is>
          <t>Delivered</t>
        </is>
      </c>
      <c r="F179" s="16" t="inlineStr">
        <is>
          <t>A500-A</t>
        </is>
      </c>
      <c r="G179" s="16" t="inlineStr">
        <is>
          <t>Bocina Bluetooth Portátil Barra de Sonido, Inalámbrica con FM Radio, TWS, USB/TF, Graves Potentes para Hogar y Exteriores</t>
        </is>
      </c>
      <c r="H179" s="16" t="inlineStr">
        <is>
          <t>AZUL</t>
        </is>
      </c>
      <c r="I179" s="16" t="n">
        <v>1</v>
      </c>
      <c r="J179" s="17" t="n">
        <v>75</v>
      </c>
      <c r="K179" s="17" t="n">
        <v>85.48</v>
      </c>
      <c r="L179" s="17" t="n">
        <v>25.86</v>
      </c>
      <c r="M179" s="17" t="n">
        <v>0</v>
      </c>
      <c r="N179" s="17">
        <f>K179*0.08+L179*0.08</f>
        <v/>
      </c>
      <c r="O179" s="17">
        <f>-(K179*0.025+L179*0.025)</f>
        <v/>
      </c>
      <c r="P179" s="17">
        <f>32</f>
        <v/>
      </c>
      <c r="Q179" s="17">
        <f>J179+L179+N179+O179-P179-M179</f>
        <v/>
      </c>
    </row>
    <row r="180">
      <c r="A180" s="16" t="inlineStr">
        <is>
          <t>5.15-5.21</t>
        </is>
      </c>
      <c r="B180" s="16" t="inlineStr">
        <is>
          <t>PO-128-07434998139510130</t>
        </is>
      </c>
      <c r="C180" s="16" t="inlineStr">
        <is>
          <t>Delivered</t>
        </is>
      </c>
      <c r="D180" s="16" t="inlineStr">
        <is>
          <t>128-07435150183030130</t>
        </is>
      </c>
      <c r="E180" s="16" t="inlineStr">
        <is>
          <t>Delivered</t>
        </is>
      </c>
      <c r="F180" s="16" t="inlineStr">
        <is>
          <t>A500-A</t>
        </is>
      </c>
      <c r="G180" s="16" t="inlineStr">
        <is>
          <t>Bocina Bluetooth Portátil Barra de Sonido, Inalámbrica con FM Radio, TWS, USB/TF, Graves Potentes para Hogar y Exteriores</t>
        </is>
      </c>
      <c r="H180" s="16" t="inlineStr">
        <is>
          <t>AZUL</t>
        </is>
      </c>
      <c r="I180" s="16" t="n">
        <v>1</v>
      </c>
      <c r="J180" s="17" t="n">
        <v>75</v>
      </c>
      <c r="K180" s="17" t="n">
        <v>43.12</v>
      </c>
      <c r="L180" s="17" t="n">
        <v>12.71</v>
      </c>
      <c r="M180" s="17" t="n">
        <v>0</v>
      </c>
      <c r="N180" s="17">
        <f>K180*0.08+L180*0.08</f>
        <v/>
      </c>
      <c r="O180" s="17">
        <f>-(K180*0.025+L180*0.025)</f>
        <v/>
      </c>
      <c r="P180" s="17">
        <f>32</f>
        <v/>
      </c>
      <c r="Q180" s="17">
        <f>J180+L180+N180+O180-P180-M180</f>
        <v/>
      </c>
    </row>
    <row r="181">
      <c r="A181" s="16" t="inlineStr">
        <is>
          <t>5.15-5.21</t>
        </is>
      </c>
      <c r="B181" s="16" t="inlineStr">
        <is>
          <t>PO-128-07434998139510130</t>
        </is>
      </c>
      <c r="C181" s="16" t="inlineStr">
        <is>
          <t>Delivered</t>
        </is>
      </c>
      <c r="D181" s="16" t="inlineStr">
        <is>
          <t>128-07435108239990130</t>
        </is>
      </c>
      <c r="E181" s="16" t="inlineStr">
        <is>
          <t>Delivered</t>
        </is>
      </c>
      <c r="F181" s="16" t="inlineStr">
        <is>
          <t>A500-R</t>
        </is>
      </c>
      <c r="G181" s="16" t="inlineStr">
        <is>
          <t>Bocina Bluetooth Portátil Barra de Sonido, Inalámbrica con FM Radio, TWS, USB/TF, Graves Potentes para Hogar y Exteriores</t>
        </is>
      </c>
      <c r="H181" s="16" t="inlineStr">
        <is>
          <t>ROIO</t>
        </is>
      </c>
      <c r="I181" s="16" t="n">
        <v>1</v>
      </c>
      <c r="J181" s="17" t="n">
        <v>78</v>
      </c>
      <c r="K181" s="17" t="n">
        <v>44.64</v>
      </c>
      <c r="L181" s="17" t="n">
        <v>13.16</v>
      </c>
      <c r="M181" s="17" t="n">
        <v>0</v>
      </c>
      <c r="N181" s="17">
        <f>K181*0.08+L181*0.08</f>
        <v/>
      </c>
      <c r="O181" s="17">
        <f>-(K181*0.025+L181*0.025)</f>
        <v/>
      </c>
      <c r="P181" s="17">
        <f>32</f>
        <v/>
      </c>
      <c r="Q181" s="17">
        <f>J181+L181+N181+O181-P181-M181</f>
        <v/>
      </c>
    </row>
    <row r="182">
      <c r="A182" s="16" t="inlineStr">
        <is>
          <t>5.15-5.21</t>
        </is>
      </c>
      <c r="B182" s="16" t="inlineStr">
        <is>
          <t>PO-128-07446918774390253</t>
        </is>
      </c>
      <c r="C182" s="16" t="inlineStr">
        <is>
          <t>Delivered</t>
        </is>
      </c>
      <c r="D182" s="16" t="inlineStr">
        <is>
          <t>128-07446971203190253</t>
        </is>
      </c>
      <c r="E182" s="16" t="inlineStr">
        <is>
          <t>Delivered</t>
        </is>
      </c>
      <c r="F182" s="16" t="inlineStr">
        <is>
          <t>A500-A</t>
        </is>
      </c>
      <c r="G182" s="16" t="inlineStr">
        <is>
          <t>Bocina Bluetooth Portátil Barra de Sonido, Inalámbrica con FM Radio, TWS, USB/TF, Graves Potentes para Hogar y Exteriores</t>
        </is>
      </c>
      <c r="H182" s="16" t="inlineStr">
        <is>
          <t>AZUL</t>
        </is>
      </c>
      <c r="I182" s="16" t="n">
        <v>1</v>
      </c>
      <c r="J182" s="17" t="n">
        <v>75</v>
      </c>
      <c r="K182" s="17" t="n">
        <v>50.05</v>
      </c>
      <c r="L182" s="17" t="n">
        <v>25.86</v>
      </c>
      <c r="M182" s="17" t="n">
        <v>0</v>
      </c>
      <c r="N182" s="17">
        <f>K182*0.08+L182*0.08</f>
        <v/>
      </c>
      <c r="O182" s="17">
        <f>-(K182*0.025+L182*0.025)</f>
        <v/>
      </c>
      <c r="P182" s="17">
        <f>32</f>
        <v/>
      </c>
      <c r="Q182" s="17">
        <f>J182+L182+N182+O182-P182-M182</f>
        <v/>
      </c>
    </row>
    <row r="183">
      <c r="A183" s="16" t="inlineStr">
        <is>
          <t>5.15-5.21</t>
        </is>
      </c>
      <c r="B183" s="16" t="inlineStr">
        <is>
          <t>PO-128-07332012206711832</t>
        </is>
      </c>
      <c r="C183" s="16" t="inlineStr">
        <is>
          <t>Delivered</t>
        </is>
      </c>
      <c r="D183" s="16" t="inlineStr">
        <is>
          <t>128-07332033178231832</t>
        </is>
      </c>
      <c r="E183" s="16" t="inlineStr">
        <is>
          <t>Delivered</t>
        </is>
      </c>
      <c r="F183" s="16" t="inlineStr">
        <is>
          <t>A500-N</t>
        </is>
      </c>
      <c r="G183" s="16" t="inlineStr">
        <is>
          <t>Bocina Bluetooth Portátil Barra de Sonido, Inalámbrica con FM Radio, TWS, USB/TF, Graves Potentes para Hogar y Exteriores</t>
        </is>
      </c>
      <c r="H183" s="16" t="inlineStr">
        <is>
          <t>NEGRO</t>
        </is>
      </c>
      <c r="I183" s="16" t="n">
        <v>1</v>
      </c>
      <c r="J183" s="17" t="n">
        <v>77.22</v>
      </c>
      <c r="K183" s="17" t="n">
        <v>90.06999999999999</v>
      </c>
      <c r="L183" s="17" t="n">
        <v>25.86</v>
      </c>
      <c r="M183" s="17" t="n">
        <v>0</v>
      </c>
      <c r="N183" s="17">
        <f>K183*0.08+L183*0.08</f>
        <v/>
      </c>
      <c r="O183" s="17">
        <f>-(K183*0.025+L183*0.025)</f>
        <v/>
      </c>
      <c r="P183" s="17">
        <f>32</f>
        <v/>
      </c>
      <c r="Q183" s="17">
        <f>J183+L183+N183+O183-P183-M183</f>
        <v/>
      </c>
    </row>
    <row r="184">
      <c r="A184" s="16" t="inlineStr">
        <is>
          <t>5.15-5.21</t>
        </is>
      </c>
      <c r="B184" s="16" t="inlineStr">
        <is>
          <t>PO-128-07407116892790491</t>
        </is>
      </c>
      <c r="C184" s="16" t="inlineStr">
        <is>
          <t>Delivered</t>
        </is>
      </c>
      <c r="D184" s="16" t="inlineStr">
        <is>
          <t>128-07407074949750491</t>
        </is>
      </c>
      <c r="E184" s="16" t="inlineStr">
        <is>
          <t>Delivered</t>
        </is>
      </c>
      <c r="F184" s="16" t="inlineStr">
        <is>
          <t>MB-185R</t>
        </is>
      </c>
      <c r="G184" s="16" t="inlineStr">
        <is>
          <t>Bocina Radio FM/Reproductor, Compatible con Tarjeta TF, USB, Bluetooth, Aplicable para celular, computadora, Ipad y consola</t>
        </is>
      </c>
      <c r="H184" s="16" t="inlineStr">
        <is>
          <t>ROJO/MB-185</t>
        </is>
      </c>
      <c r="I184" s="16" t="n">
        <v>1</v>
      </c>
      <c r="J184" s="17" t="n">
        <v>66</v>
      </c>
      <c r="K184" s="17" t="n">
        <v>78.94</v>
      </c>
      <c r="L184" s="17" t="n">
        <v>25.86</v>
      </c>
      <c r="M184" s="17" t="n">
        <v>0</v>
      </c>
      <c r="N184" s="17">
        <f>K184*0.08+L184*0.08</f>
        <v/>
      </c>
      <c r="O184" s="17">
        <f>-(K184*0.025+L184*0.025)</f>
        <v/>
      </c>
      <c r="P184" s="17">
        <f>32</f>
        <v/>
      </c>
      <c r="Q184" s="17">
        <f>J184+L184+N184+O184-P184-M184</f>
        <v/>
      </c>
    </row>
    <row r="185">
      <c r="A185" s="16" t="inlineStr">
        <is>
          <t>5.15-5.21</t>
        </is>
      </c>
      <c r="B185" s="16" t="inlineStr">
        <is>
          <t>PO-128-06948357637753161</t>
        </is>
      </c>
      <c r="C185" s="16" t="inlineStr">
        <is>
          <t>Delivered</t>
        </is>
      </c>
      <c r="D185" s="16" t="inlineStr">
        <is>
          <t>128-06948399580793161</t>
        </is>
      </c>
      <c r="E185" s="16" t="inlineStr">
        <is>
          <t>Delivered</t>
        </is>
      </c>
      <c r="F185" s="16" t="inlineStr">
        <is>
          <t>A500-N</t>
        </is>
      </c>
      <c r="G185" s="16" t="inlineStr">
        <is>
          <t>Bocina Bluetooth Portátil Barra de Sonido, Inalámbrica con FM Radio, TWS, USB/TF, Graves Potentes para Hogar y Exteriores</t>
        </is>
      </c>
      <c r="H185" s="16" t="inlineStr">
        <is>
          <t>NEGRO</t>
        </is>
      </c>
      <c r="I185" s="16" t="n">
        <v>1</v>
      </c>
      <c r="J185" s="17" t="n">
        <v>77.22</v>
      </c>
      <c r="K185" s="17" t="n">
        <v>90.06999999999999</v>
      </c>
      <c r="L185" s="17" t="n">
        <v>25.86</v>
      </c>
      <c r="M185" s="17" t="n">
        <v>0</v>
      </c>
      <c r="N185" s="17">
        <f>K185*0.08+L185*0.08</f>
        <v/>
      </c>
      <c r="O185" s="17">
        <f>-(K185*0.025+L185*0.025)</f>
        <v/>
      </c>
      <c r="P185" s="17">
        <f>32</f>
        <v/>
      </c>
      <c r="Q185" s="17">
        <f>J185+L185+N185+O185-P185-M185</f>
        <v/>
      </c>
    </row>
    <row r="186">
      <c r="A186" s="16" t="inlineStr">
        <is>
          <t>5.15-5.21</t>
        </is>
      </c>
      <c r="B186" s="16" t="inlineStr">
        <is>
          <t>PO-128-07200810767992614</t>
        </is>
      </c>
      <c r="C186" s="16" t="inlineStr">
        <is>
          <t>Delivered</t>
        </is>
      </c>
      <c r="D186" s="16" t="inlineStr">
        <is>
          <t>128-07200816010872614</t>
        </is>
      </c>
      <c r="E186" s="16" t="inlineStr">
        <is>
          <t>Delivered</t>
        </is>
      </c>
      <c r="F186" s="16" t="inlineStr">
        <is>
          <t>A500-R</t>
        </is>
      </c>
      <c r="G186" s="16" t="inlineStr">
        <is>
          <t>Bocina Bluetooth Portátil Barra de Sonido, Inalámbrica con FM Radio, TWS, USB/TF, Graves Potentes para Hogar y Exteriores</t>
        </is>
      </c>
      <c r="H186" s="16" t="inlineStr">
        <is>
          <t>ROIO</t>
        </is>
      </c>
      <c r="I186" s="16" t="n">
        <v>1</v>
      </c>
      <c r="J186" s="17" t="n">
        <v>78</v>
      </c>
      <c r="K186" s="17" t="n">
        <v>88.48</v>
      </c>
      <c r="L186" s="17" t="n">
        <v>25.86</v>
      </c>
      <c r="M186" s="17" t="n">
        <v>0</v>
      </c>
      <c r="N186" s="17">
        <f>K186*0.08+L186*0.08</f>
        <v/>
      </c>
      <c r="O186" s="17">
        <f>-(K186*0.025+L186*0.025)</f>
        <v/>
      </c>
      <c r="P186" s="17">
        <f>32</f>
        <v/>
      </c>
      <c r="Q186" s="17">
        <f>J186+L186+N186+O186-P186-M186</f>
        <v/>
      </c>
    </row>
    <row r="187">
      <c r="A187" s="16" t="inlineStr">
        <is>
          <t>5.15-5.21</t>
        </is>
      </c>
      <c r="B187" s="16" t="inlineStr">
        <is>
          <t>PO-128-07169326991992930</t>
        </is>
      </c>
      <c r="C187" s="16" t="inlineStr">
        <is>
          <t>Delivered</t>
        </is>
      </c>
      <c r="D187" s="16" t="inlineStr">
        <is>
          <t>128-07169403013752930</t>
        </is>
      </c>
      <c r="E187" s="16" t="inlineStr">
        <is>
          <t>Delivered</t>
        </is>
      </c>
      <c r="F187" s="16" t="inlineStr">
        <is>
          <t>A500-N</t>
        </is>
      </c>
      <c r="G187" s="16" t="inlineStr">
        <is>
          <t>Bocina Bluetooth Portátil Barra de Sonido, Inalámbrica con FM Radio, TWS, USB/TF, Graves Potentes para Hogar y Exteriores</t>
        </is>
      </c>
      <c r="H187" s="16" t="inlineStr">
        <is>
          <t>NEGRO</t>
        </is>
      </c>
      <c r="I187" s="16" t="n">
        <v>1</v>
      </c>
      <c r="J187" s="17" t="n">
        <v>77.22</v>
      </c>
      <c r="K187" s="17" t="n">
        <v>90.06999999999999</v>
      </c>
      <c r="L187" s="17" t="n">
        <v>25.86</v>
      </c>
      <c r="M187" s="17" t="n">
        <v>0</v>
      </c>
      <c r="N187" s="17">
        <f>K187*0.08+L187*0.08</f>
        <v/>
      </c>
      <c r="O187" s="17">
        <f>-(K187*0.025+L187*0.025)</f>
        <v/>
      </c>
      <c r="P187" s="17">
        <f>32</f>
        <v/>
      </c>
      <c r="Q187" s="17">
        <f>J187+L187+N187+O187-P187-M187</f>
        <v/>
      </c>
    </row>
    <row r="188">
      <c r="A188" s="16" t="inlineStr">
        <is>
          <t>5.15-5.21</t>
        </is>
      </c>
      <c r="B188" s="16" t="inlineStr">
        <is>
          <t>PO-128-07163681731192900</t>
        </is>
      </c>
      <c r="C188" s="16" t="inlineStr">
        <is>
          <t>Delivered</t>
        </is>
      </c>
      <c r="D188" s="16" t="inlineStr">
        <is>
          <t>128-07163650273912900</t>
        </is>
      </c>
      <c r="E188" s="16" t="inlineStr">
        <is>
          <t>Delivered</t>
        </is>
      </c>
      <c r="F188" s="16" t="inlineStr">
        <is>
          <t>MB-183N</t>
        </is>
      </c>
      <c r="G188" s="16" t="inlineStr">
        <is>
          <t>Linkbits Altavoz Bluetooth Portátil con Stereo Inalámbrico TWS Impermeable y a Prueba de Polvo IP65 Altavoz de Graves de Rango Completo de 52mm con Doble Unidad Ligero de 215g para Camping Senderismo y Fiestas al Aire Libre</t>
        </is>
      </c>
      <c r="H188" s="16" t="inlineStr">
        <is>
          <t>NEGRO/MB-183</t>
        </is>
      </c>
      <c r="I188" s="16" t="n">
        <v>1</v>
      </c>
      <c r="J188" s="17" t="n">
        <v>80</v>
      </c>
      <c r="K188" s="17" t="n">
        <v>77.91</v>
      </c>
      <c r="L188" s="17" t="n">
        <v>25.86</v>
      </c>
      <c r="M188" s="17" t="n">
        <v>0</v>
      </c>
      <c r="N188" s="17">
        <f>K188*0.08+L188*0.08</f>
        <v/>
      </c>
      <c r="O188" s="17">
        <f>-(K188*0.025+L188*0.025)</f>
        <v/>
      </c>
      <c r="P188" s="17">
        <f>32</f>
        <v/>
      </c>
      <c r="Q188" s="17">
        <f>J188+L188+N188+O188-P188-M188</f>
        <v/>
      </c>
    </row>
    <row r="189">
      <c r="A189" s="16" t="inlineStr">
        <is>
          <t>5.15-5.21</t>
        </is>
      </c>
      <c r="B189" s="16" t="inlineStr">
        <is>
          <t>PO-128-07134163868792948</t>
        </is>
      </c>
      <c r="C189" s="16" t="inlineStr">
        <is>
          <t>Delivered</t>
        </is>
      </c>
      <c r="D189" s="16" t="inlineStr">
        <is>
          <t>128-07134142897272948</t>
        </is>
      </c>
      <c r="E189" s="16" t="inlineStr">
        <is>
          <t>Delivered</t>
        </is>
      </c>
      <c r="F189" s="16" t="inlineStr">
        <is>
          <t>A500-N</t>
        </is>
      </c>
      <c r="G189" s="16" t="inlineStr">
        <is>
          <t>Bocina Bluetooth Portátil Barra de Sonido, Inalámbrica con FM Radio, TWS, USB/TF, Graves Potentes para Hogar y Exteriores</t>
        </is>
      </c>
      <c r="H189" s="16" t="inlineStr">
        <is>
          <t>NEGRO</t>
        </is>
      </c>
      <c r="I189" s="16" t="n">
        <v>1</v>
      </c>
      <c r="J189" s="17" t="n">
        <v>77.22</v>
      </c>
      <c r="K189" s="17" t="n">
        <v>72.06</v>
      </c>
      <c r="L189" s="17" t="n">
        <v>25.86</v>
      </c>
      <c r="M189" s="17" t="n">
        <v>0</v>
      </c>
      <c r="N189" s="17">
        <f>K189*0.08+L189*0.08</f>
        <v/>
      </c>
      <c r="O189" s="17">
        <f>-(K189*0.025+L189*0.025)</f>
        <v/>
      </c>
      <c r="P189" s="17">
        <f>32</f>
        <v/>
      </c>
      <c r="Q189" s="17">
        <f>J189+L189+N189+O189-P189-M189</f>
        <v/>
      </c>
    </row>
    <row r="190">
      <c r="A190" s="16" t="inlineStr">
        <is>
          <t>5.15-5.21</t>
        </is>
      </c>
      <c r="B190" s="16" t="inlineStr">
        <is>
          <t>PO-128-07272612787831226</t>
        </is>
      </c>
      <c r="C190" s="16" t="inlineStr">
        <is>
          <t>Delivered</t>
        </is>
      </c>
      <c r="D190" s="16" t="inlineStr">
        <is>
          <t>128-07272604923511226</t>
        </is>
      </c>
      <c r="E190" s="16" t="inlineStr">
        <is>
          <t>Delivered</t>
        </is>
      </c>
      <c r="F190" s="16" t="inlineStr">
        <is>
          <t>A500-N</t>
        </is>
      </c>
      <c r="G190" s="16" t="inlineStr">
        <is>
          <t>Bocina Bluetooth Portátil Barra de Sonido, Inalámbrica con FM Radio, TWS, USB/TF, Graves Potentes para Hogar y Exteriores</t>
        </is>
      </c>
      <c r="H190" s="16" t="inlineStr">
        <is>
          <t>NEGRO</t>
        </is>
      </c>
      <c r="I190" s="16" t="n">
        <v>1</v>
      </c>
      <c r="J190" s="17" t="n">
        <v>77.22</v>
      </c>
      <c r="K190" s="17" t="n">
        <v>72.06</v>
      </c>
      <c r="L190" s="17" t="n">
        <v>25.86</v>
      </c>
      <c r="M190" s="17" t="n">
        <v>0</v>
      </c>
      <c r="N190" s="17">
        <f>K190*0.08+L190*0.08</f>
        <v/>
      </c>
      <c r="O190" s="17">
        <f>-(K190*0.025+L190*0.025)</f>
        <v/>
      </c>
      <c r="P190" s="17">
        <f>32</f>
        <v/>
      </c>
      <c r="Q190" s="17">
        <f>J190+L190+N190+O190-P190-M190</f>
        <v/>
      </c>
    </row>
    <row r="191">
      <c r="A191" s="16" t="inlineStr">
        <is>
          <t>5.15-5.21</t>
        </is>
      </c>
      <c r="B191" s="16" t="inlineStr">
        <is>
          <t>PO-128-07270461292151241</t>
        </is>
      </c>
      <c r="C191" s="16" t="inlineStr">
        <is>
          <t>Delivered</t>
        </is>
      </c>
      <c r="D191" s="16" t="inlineStr">
        <is>
          <t>128-07270471777911241</t>
        </is>
      </c>
      <c r="E191" s="16" t="inlineStr">
        <is>
          <t>Delivered</t>
        </is>
      </c>
      <c r="F191" s="16" t="inlineStr">
        <is>
          <t>MB-185A</t>
        </is>
      </c>
      <c r="G191" s="16" t="inlineStr">
        <is>
          <t>Bocina Radio FM/Reproductor, Compatible con Tarjeta TF, USB, Bluetooth, Aplicable para celular, computadora, Ipad y consola</t>
        </is>
      </c>
      <c r="H191" s="16" t="inlineStr">
        <is>
          <t>AZUL/MB-185</t>
        </is>
      </c>
      <c r="I191" s="16" t="n">
        <v>1</v>
      </c>
      <c r="J191" s="17" t="n">
        <v>66</v>
      </c>
      <c r="K191" s="17" t="n">
        <v>78.94</v>
      </c>
      <c r="L191" s="17" t="n">
        <v>25.86</v>
      </c>
      <c r="M191" s="17" t="n">
        <v>0</v>
      </c>
      <c r="N191" s="17">
        <f>K191*0.08+L191*0.08</f>
        <v/>
      </c>
      <c r="O191" s="17">
        <f>-(K191*0.025+L191*0.025)</f>
        <v/>
      </c>
      <c r="P191" s="17">
        <f>32</f>
        <v/>
      </c>
      <c r="Q191" s="17">
        <f>J191+L191+N191+O191-P191-M191</f>
        <v/>
      </c>
    </row>
    <row r="192">
      <c r="A192" s="16" t="inlineStr">
        <is>
          <t>5.15-5.21</t>
        </is>
      </c>
      <c r="B192" s="16" t="inlineStr">
        <is>
          <t>PO-128-07388570404470409</t>
        </is>
      </c>
      <c r="C192" s="16" t="inlineStr">
        <is>
          <t>Delivered</t>
        </is>
      </c>
      <c r="D192" s="16" t="inlineStr">
        <is>
          <t>128-07388596618870409</t>
        </is>
      </c>
      <c r="E192" s="16" t="inlineStr">
        <is>
          <t>Delivered</t>
        </is>
      </c>
      <c r="F192" s="16" t="inlineStr">
        <is>
          <t>MB-185N</t>
        </is>
      </c>
      <c r="G192" s="16" t="inlineStr">
        <is>
          <t>Bocina Radio FM/Reproductor, Compatible con Tarjeta TF, USB, Bluetooth, Aplicable para celular, computadora, Ipad y consola</t>
        </is>
      </c>
      <c r="H192" s="16" t="inlineStr">
        <is>
          <t>NEGRO/MB-185</t>
        </is>
      </c>
      <c r="I192" s="16" t="n">
        <v>1</v>
      </c>
      <c r="J192" s="17" t="n">
        <v>66</v>
      </c>
      <c r="K192" s="17" t="n">
        <v>63.16</v>
      </c>
      <c r="L192" s="17" t="n">
        <v>25.86</v>
      </c>
      <c r="M192" s="17" t="n">
        <v>0</v>
      </c>
      <c r="N192" s="17">
        <f>K192*0.08+L192*0.08</f>
        <v/>
      </c>
      <c r="O192" s="17">
        <f>-(K192*0.025+L192*0.025)</f>
        <v/>
      </c>
      <c r="P192" s="17">
        <f>32</f>
        <v/>
      </c>
      <c r="Q192" s="17">
        <f>J192+L192+N192+O192-P192-M192</f>
        <v/>
      </c>
    </row>
    <row r="193">
      <c r="A193" s="16" t="inlineStr">
        <is>
          <t>5.15-5.21</t>
        </is>
      </c>
      <c r="B193" s="16" t="inlineStr">
        <is>
          <t>PO-128-07044339041912461</t>
        </is>
      </c>
      <c r="C193" s="16" t="inlineStr">
        <is>
          <t>Delivered</t>
        </is>
      </c>
      <c r="D193" s="16" t="inlineStr">
        <is>
          <t>128-07044344284792461</t>
        </is>
      </c>
      <c r="E193" s="16" t="inlineStr">
        <is>
          <t>Delivered</t>
        </is>
      </c>
      <c r="F193" s="16" t="inlineStr">
        <is>
          <t>A500-A</t>
        </is>
      </c>
      <c r="G193" s="16" t="inlineStr">
        <is>
          <t>Bocina Bluetooth Portátil Barra de Sonido, Inalámbrica con FM Radio, TWS, USB/TF, Graves Potentes para Hogar y Exteriores</t>
        </is>
      </c>
      <c r="H193" s="16" t="inlineStr">
        <is>
          <t>AZUL</t>
        </is>
      </c>
      <c r="I193" s="16" t="n">
        <v>1</v>
      </c>
      <c r="J193" s="17" t="n">
        <v>75</v>
      </c>
      <c r="K193" s="17" t="n">
        <v>85.48</v>
      </c>
      <c r="L193" s="17" t="n">
        <v>25.86</v>
      </c>
      <c r="M193" s="17" t="n">
        <v>0</v>
      </c>
      <c r="N193" s="17">
        <f>K193*0.08+L193*0.08</f>
        <v/>
      </c>
      <c r="O193" s="17">
        <f>-(K193*0.025+L193*0.025)</f>
        <v/>
      </c>
      <c r="P193" s="17">
        <f>32</f>
        <v/>
      </c>
      <c r="Q193" s="17">
        <f>J193+L193+N193+O193-P193-M193</f>
        <v/>
      </c>
    </row>
    <row r="194">
      <c r="A194" s="16" t="inlineStr">
        <is>
          <t>5.15-5.21</t>
        </is>
      </c>
      <c r="B194" s="16" t="inlineStr">
        <is>
          <t>PO-128-07540345697910529</t>
        </is>
      </c>
      <c r="C194" s="16" t="inlineStr">
        <is>
          <t>Delivered</t>
        </is>
      </c>
      <c r="D194" s="16" t="inlineStr">
        <is>
          <t>128-07540348319350529</t>
        </is>
      </c>
      <c r="E194" s="16" t="inlineStr">
        <is>
          <t>Delivered</t>
        </is>
      </c>
      <c r="F194" s="16" t="inlineStr">
        <is>
          <t>SA320T-R</t>
        </is>
      </c>
      <c r="G194" s="16" t="inlineStr">
        <is>
          <t>Altavoz inalámbrico portátil con Luces RGB, Radio FM y Manija - 5h Duración, TWS, TF Card, Compacto y Recargable via USB，Perfecto para viajes, fiestas y gaming</t>
        </is>
      </c>
      <c r="H194" s="16" t="inlineStr">
        <is>
          <t>rojo</t>
        </is>
      </c>
      <c r="I194" s="16" t="n">
        <v>1</v>
      </c>
      <c r="J194" s="17" t="n">
        <v>54</v>
      </c>
      <c r="K194" s="17" t="n">
        <v>64.72</v>
      </c>
      <c r="L194" s="17" t="n">
        <v>25.86</v>
      </c>
      <c r="M194" s="17" t="n">
        <v>0</v>
      </c>
      <c r="N194" s="17">
        <f>K194*0.08+L194*0.08</f>
        <v/>
      </c>
      <c r="O194" s="17">
        <f>-(K194*0.025+L194*0.025)</f>
        <v/>
      </c>
      <c r="P194" s="17">
        <f>32</f>
        <v/>
      </c>
      <c r="Q194" s="17">
        <f>J194+L194+N194+O194-P194-M194</f>
        <v/>
      </c>
    </row>
    <row r="195">
      <c r="A195" s="16" t="inlineStr">
        <is>
          <t>5.15-5.21</t>
        </is>
      </c>
      <c r="B195" s="16" t="inlineStr">
        <is>
          <t>PO-128-07398344520310479</t>
        </is>
      </c>
      <c r="C195" s="16" t="inlineStr">
        <is>
          <t>Delivered</t>
        </is>
      </c>
      <c r="D195" s="16" t="inlineStr">
        <is>
          <t>128-07398396949110479</t>
        </is>
      </c>
      <c r="E195" s="16" t="inlineStr">
        <is>
          <t>Delivered</t>
        </is>
      </c>
      <c r="F195" s="16" t="inlineStr">
        <is>
          <t>A500-R</t>
        </is>
      </c>
      <c r="G195" s="16" t="inlineStr">
        <is>
          <t>Bocina Bluetooth Portátil Barra de Sonido, Inalámbrica con FM Radio, TWS, USB/TF, Graves Potentes para Hogar y Exteriores</t>
        </is>
      </c>
      <c r="H195" s="16" t="inlineStr">
        <is>
          <t>ROIO</t>
        </is>
      </c>
      <c r="I195" s="16" t="n">
        <v>1</v>
      </c>
      <c r="J195" s="17" t="n">
        <v>78</v>
      </c>
      <c r="K195" s="17" t="n">
        <v>88.48</v>
      </c>
      <c r="L195" s="17" t="n">
        <v>25.86</v>
      </c>
      <c r="M195" s="17" t="n">
        <v>0</v>
      </c>
      <c r="N195" s="17">
        <f>K195*0.08+L195*0.08</f>
        <v/>
      </c>
      <c r="O195" s="17">
        <f>-(K195*0.025+L195*0.025)</f>
        <v/>
      </c>
      <c r="P195" s="17">
        <f>32</f>
        <v/>
      </c>
      <c r="Q195" s="17">
        <f>J195+L195+N195+O195-P195-M195</f>
        <v/>
      </c>
    </row>
    <row r="196">
      <c r="A196" s="16" t="inlineStr">
        <is>
          <t>5.15-5.21</t>
        </is>
      </c>
      <c r="B196" s="16" t="inlineStr">
        <is>
          <t>PO-128-07398320302710479</t>
        </is>
      </c>
      <c r="C196" s="16" t="inlineStr">
        <is>
          <t>Delivered</t>
        </is>
      </c>
      <c r="D196" s="16" t="inlineStr">
        <is>
          <t>128-07398362245750479</t>
        </is>
      </c>
      <c r="E196" s="16" t="inlineStr">
        <is>
          <t>Delivered</t>
        </is>
      </c>
      <c r="F196" s="16" t="inlineStr">
        <is>
          <t>A500-R</t>
        </is>
      </c>
      <c r="G196" s="16" t="inlineStr">
        <is>
          <t>Bocina Bluetooth Portátil Barra de Sonido, Inalámbrica con FM Radio, TWS, USB/TF, Graves Potentes para Hogar y Exteriores</t>
        </is>
      </c>
      <c r="H196" s="16" t="inlineStr">
        <is>
          <t>ROIO</t>
        </is>
      </c>
      <c r="I196" s="16" t="n">
        <v>1</v>
      </c>
      <c r="J196" s="17" t="n">
        <v>78</v>
      </c>
      <c r="K196" s="17" t="n">
        <v>88.48</v>
      </c>
      <c r="L196" s="17" t="n">
        <v>25.86</v>
      </c>
      <c r="M196" s="17" t="n">
        <v>0</v>
      </c>
      <c r="N196" s="17">
        <f>K196*0.08+L196*0.08</f>
        <v/>
      </c>
      <c r="O196" s="17">
        <f>-(K196*0.025+L196*0.025)</f>
        <v/>
      </c>
      <c r="P196" s="17">
        <f>32</f>
        <v/>
      </c>
      <c r="Q196" s="17">
        <f>J196+L196+N196+O196-P196-M196</f>
        <v/>
      </c>
    </row>
    <row r="197">
      <c r="A197" s="16" t="inlineStr">
        <is>
          <t>5.15-5.21</t>
        </is>
      </c>
      <c r="B197" s="16" t="inlineStr">
        <is>
          <t>PO-128-06885428721273534</t>
        </is>
      </c>
      <c r="C197" s="16" t="inlineStr">
        <is>
          <t>Delivered</t>
        </is>
      </c>
      <c r="D197" s="16" t="inlineStr">
        <is>
          <t>128-06885423478393534</t>
        </is>
      </c>
      <c r="E197" s="16" t="inlineStr">
        <is>
          <t>Delivered</t>
        </is>
      </c>
      <c r="F197" s="16" t="inlineStr">
        <is>
          <t>A500-R</t>
        </is>
      </c>
      <c r="G197" s="16" t="inlineStr">
        <is>
          <t>Bocina Bluetooth Portátil Barra de Sonido, Inalámbrica con FM Radio, TWS, USB/TF, Graves Potentes para Hogar y Exteriores</t>
        </is>
      </c>
      <c r="H197" s="16" t="inlineStr">
        <is>
          <t>ROIO</t>
        </is>
      </c>
      <c r="I197" s="16" t="n">
        <v>1</v>
      </c>
      <c r="J197" s="17" t="n">
        <v>78</v>
      </c>
      <c r="K197" s="17" t="n">
        <v>88.48</v>
      </c>
      <c r="L197" s="17" t="n">
        <v>13.16</v>
      </c>
      <c r="M197" s="17" t="n">
        <v>0</v>
      </c>
      <c r="N197" s="17">
        <f>K197*0.08+L197*0.08</f>
        <v/>
      </c>
      <c r="O197" s="17">
        <f>-(K197*0.025+L197*0.025)</f>
        <v/>
      </c>
      <c r="P197" s="17">
        <f>32</f>
        <v/>
      </c>
      <c r="Q197" s="17">
        <f>J197+L197+N197+O197-P197-M197</f>
        <v/>
      </c>
    </row>
    <row r="198">
      <c r="A198" s="16" t="inlineStr">
        <is>
          <t>5.15-5.21</t>
        </is>
      </c>
      <c r="B198" s="16" t="inlineStr">
        <is>
          <t>PO-128-06885428721273534</t>
        </is>
      </c>
      <c r="C198" s="16" t="inlineStr">
        <is>
          <t>Delivered</t>
        </is>
      </c>
      <c r="D198" s="16" t="inlineStr">
        <is>
          <t>128-06885418235513534</t>
        </is>
      </c>
      <c r="E198" s="16" t="inlineStr">
        <is>
          <t>Delivered</t>
        </is>
      </c>
      <c r="F198" s="16" t="inlineStr">
        <is>
          <t>A500-A</t>
        </is>
      </c>
      <c r="G198" s="16" t="inlineStr">
        <is>
          <t>Bocina Bluetooth Portátil Barra de Sonido, Inalámbrica con FM Radio, TWS, USB/TF, Graves Potentes para Hogar y Exteriores</t>
        </is>
      </c>
      <c r="H198" s="16" t="inlineStr">
        <is>
          <t>AZUL</t>
        </is>
      </c>
      <c r="I198" s="16" t="n">
        <v>1</v>
      </c>
      <c r="J198" s="17" t="n">
        <v>75</v>
      </c>
      <c r="K198" s="17" t="n">
        <v>85.48</v>
      </c>
      <c r="L198" s="17" t="n">
        <v>12.71</v>
      </c>
      <c r="M198" s="17" t="n">
        <v>0</v>
      </c>
      <c r="N198" s="17">
        <f>K198*0.08+L198*0.08</f>
        <v/>
      </c>
      <c r="O198" s="17">
        <f>-(K198*0.025+L198*0.025)</f>
        <v/>
      </c>
      <c r="P198" s="17">
        <f>32</f>
        <v/>
      </c>
      <c r="Q198" s="17">
        <f>J198+L198+N198+O198-P198-M198</f>
        <v/>
      </c>
    </row>
    <row r="199">
      <c r="A199" s="16" t="inlineStr">
        <is>
          <t>5.15-5.21</t>
        </is>
      </c>
      <c r="B199" s="16" t="inlineStr">
        <is>
          <t>PO-128-07517119345270667</t>
        </is>
      </c>
      <c r="C199" s="16" t="inlineStr">
        <is>
          <t>Delivered</t>
        </is>
      </c>
      <c r="D199" s="16" t="inlineStr">
        <is>
          <t>128-07517195367030667</t>
        </is>
      </c>
      <c r="E199" s="16" t="inlineStr">
        <is>
          <t>Delivered</t>
        </is>
      </c>
      <c r="F199" s="16" t="inlineStr">
        <is>
          <t>MB-185A</t>
        </is>
      </c>
      <c r="G199" s="16" t="inlineStr">
        <is>
          <t>Bocina Radio FM/Reproductor, Compatible con Tarjeta TF, USB, Bluetooth, Aplicable para celular, computadora, Ipad y consola</t>
        </is>
      </c>
      <c r="H199" s="16" t="inlineStr">
        <is>
          <t>AZUL/MB-185</t>
        </is>
      </c>
      <c r="I199" s="16" t="n">
        <v>1</v>
      </c>
      <c r="J199" s="17" t="n">
        <v>66</v>
      </c>
      <c r="K199" s="17" t="n">
        <v>78.94</v>
      </c>
      <c r="L199" s="17" t="n">
        <v>25.86</v>
      </c>
      <c r="M199" s="17" t="n">
        <v>0</v>
      </c>
      <c r="N199" s="17">
        <f>K199*0.08+L199*0.08</f>
        <v/>
      </c>
      <c r="O199" s="17">
        <f>-(K199*0.025+L199*0.025)</f>
        <v/>
      </c>
      <c r="P199" s="17">
        <f>32</f>
        <v/>
      </c>
      <c r="Q199" s="17">
        <f>J199+L199+N199+O199-P199-M199</f>
        <v/>
      </c>
    </row>
    <row r="200">
      <c r="A200" s="16" t="inlineStr">
        <is>
          <t>5.15-5.21</t>
        </is>
      </c>
      <c r="B200" s="16" t="inlineStr">
        <is>
          <t>PO-128-07403390167670449</t>
        </is>
      </c>
      <c r="C200" s="16" t="inlineStr">
        <is>
          <t>Delivered</t>
        </is>
      </c>
      <c r="D200" s="16" t="inlineStr">
        <is>
          <t>128-07403403274870449</t>
        </is>
      </c>
      <c r="E200" s="16" t="inlineStr">
        <is>
          <t>Delivered</t>
        </is>
      </c>
      <c r="F200" s="16" t="inlineStr">
        <is>
          <t>A500-A</t>
        </is>
      </c>
      <c r="G200" s="16" t="inlineStr">
        <is>
          <t>Bocina Bluetooth Portátil Barra de Sonido, Inalámbrica con FM Radio, TWS, USB/TF, Graves Potentes para Hogar y Exteriores</t>
        </is>
      </c>
      <c r="H200" s="16" t="inlineStr">
        <is>
          <t>AZUL</t>
        </is>
      </c>
      <c r="I200" s="16" t="n">
        <v>1</v>
      </c>
      <c r="J200" s="17" t="n">
        <v>75</v>
      </c>
      <c r="K200" s="17" t="n">
        <v>85.48</v>
      </c>
      <c r="L200" s="17" t="n">
        <v>25.86</v>
      </c>
      <c r="M200" s="17" t="n">
        <v>0</v>
      </c>
      <c r="N200" s="17">
        <f>K200*0.08+L200*0.08</f>
        <v/>
      </c>
      <c r="O200" s="17">
        <f>-(K200*0.025+L200*0.025)</f>
        <v/>
      </c>
      <c r="P200" s="17">
        <f>32</f>
        <v/>
      </c>
      <c r="Q200" s="17">
        <f>J200+L200+N200+O200-P200-M200</f>
        <v/>
      </c>
    </row>
    <row r="201">
      <c r="A201" s="16" t="inlineStr">
        <is>
          <t>5.15-5.21</t>
        </is>
      </c>
      <c r="B201" s="16" t="inlineStr">
        <is>
          <t>PO-128-07458448661110057</t>
        </is>
      </c>
      <c r="C201" s="16" t="inlineStr">
        <is>
          <t>Delivered</t>
        </is>
      </c>
      <c r="D201" s="16" t="inlineStr">
        <is>
          <t>128-07458459146870057</t>
        </is>
      </c>
      <c r="E201" s="16" t="inlineStr">
        <is>
          <t>Delivered</t>
        </is>
      </c>
      <c r="F201" s="16" t="inlineStr">
        <is>
          <t>A500-A</t>
        </is>
      </c>
      <c r="G201" s="16" t="inlineStr">
        <is>
          <t>Bocina Bluetooth Portátil Barra de Sonido, Inalámbrica con FM Radio, TWS, USB/TF, Graves Potentes para Hogar y Exteriores</t>
        </is>
      </c>
      <c r="H201" s="16" t="inlineStr">
        <is>
          <t>AZUL</t>
        </is>
      </c>
      <c r="I201" s="16" t="n">
        <v>1</v>
      </c>
      <c r="J201" s="17" t="n">
        <v>75</v>
      </c>
      <c r="K201" s="17" t="n">
        <v>85.48</v>
      </c>
      <c r="L201" s="17" t="n">
        <v>0</v>
      </c>
      <c r="M201" s="17" t="n">
        <v>85.48</v>
      </c>
      <c r="N201" s="17">
        <f>K201*0.08+L201*0.08</f>
        <v/>
      </c>
      <c r="O201" s="17">
        <f>-(K201*0.025+L201*0.025)</f>
        <v/>
      </c>
      <c r="P201" s="17">
        <f>32</f>
        <v/>
      </c>
      <c r="Q201" s="17">
        <f>J201+L201+N201+O201-P201-M201</f>
        <v/>
      </c>
    </row>
    <row r="202">
      <c r="A202" s="16" t="inlineStr">
        <is>
          <t>5.15-5.21</t>
        </is>
      </c>
      <c r="B202" s="16" t="inlineStr">
        <is>
          <t>PO-128-07056315710072516</t>
        </is>
      </c>
      <c r="C202" s="16" t="inlineStr">
        <is>
          <t>Delivered</t>
        </is>
      </c>
      <c r="D202" s="16" t="inlineStr">
        <is>
          <t>128-07056273767032516</t>
        </is>
      </c>
      <c r="E202" s="16" t="inlineStr">
        <is>
          <t>Delivered</t>
        </is>
      </c>
      <c r="F202" s="16" t="inlineStr">
        <is>
          <t>A500-A</t>
        </is>
      </c>
      <c r="G202" s="16" t="inlineStr">
        <is>
          <t>Bocina Bluetooth Portátil Barra de Sonido, Inalámbrica con FM Radio, TWS, USB/TF, Graves Potentes para Hogar y Exteriores</t>
        </is>
      </c>
      <c r="H202" s="16" t="inlineStr">
        <is>
          <t>AZUL</t>
        </is>
      </c>
      <c r="I202" s="16" t="n">
        <v>1</v>
      </c>
      <c r="J202" s="17" t="n">
        <v>75</v>
      </c>
      <c r="K202" s="17" t="n">
        <v>85.48</v>
      </c>
      <c r="L202" s="17" t="n">
        <v>25.86</v>
      </c>
      <c r="M202" s="17" t="n">
        <v>0</v>
      </c>
      <c r="N202" s="17">
        <f>K202*0.08+L202*0.08</f>
        <v/>
      </c>
      <c r="O202" s="17">
        <f>-(K202*0.025+L202*0.025)</f>
        <v/>
      </c>
      <c r="P202" s="17">
        <f>32</f>
        <v/>
      </c>
      <c r="Q202" s="17">
        <f>J202+L202+N202+O202-P202-M202</f>
        <v/>
      </c>
    </row>
    <row r="203">
      <c r="A203" s="16" t="inlineStr">
        <is>
          <t>5.15-5.21</t>
        </is>
      </c>
      <c r="B203" s="16" t="inlineStr">
        <is>
          <t>PO-128-07348590623351671</t>
        </is>
      </c>
      <c r="C203" s="16" t="inlineStr">
        <is>
          <t>Delivered</t>
        </is>
      </c>
      <c r="D203" s="16" t="inlineStr">
        <is>
          <t>128-07348618148471671</t>
        </is>
      </c>
      <c r="E203" s="16" t="inlineStr">
        <is>
          <t>Delivered</t>
        </is>
      </c>
      <c r="F203" s="16" t="inlineStr">
        <is>
          <t>SA320T-R</t>
        </is>
      </c>
      <c r="G203" s="16" t="inlineStr">
        <is>
          <t>Altavoz inalámbrico portátil con Luces RGB, Radio FM y Manija - 5h Duración, TWS, TF Card, Compacto y Recargable via USB，Perfecto para viajes, fiestas y gaming</t>
        </is>
      </c>
      <c r="H203" s="16" t="inlineStr">
        <is>
          <t>rojo</t>
        </is>
      </c>
      <c r="I203" s="16" t="n">
        <v>1</v>
      </c>
      <c r="J203" s="17" t="n">
        <v>54</v>
      </c>
      <c r="K203" s="17" t="n">
        <v>56.56</v>
      </c>
      <c r="L203" s="17" t="n">
        <v>25.86</v>
      </c>
      <c r="M203" s="17" t="n">
        <v>0</v>
      </c>
      <c r="N203" s="17">
        <f>K203*0.08+L203*0.08</f>
        <v/>
      </c>
      <c r="O203" s="17">
        <f>-(K203*0.025+L203*0.025)</f>
        <v/>
      </c>
      <c r="P203" s="17">
        <f>32</f>
        <v/>
      </c>
      <c r="Q203" s="17">
        <f>J203+L203+N203+O203-P203-M203</f>
        <v/>
      </c>
    </row>
    <row r="204">
      <c r="A204" s="16" t="inlineStr">
        <is>
          <t>5.15-5.21</t>
        </is>
      </c>
      <c r="B204" s="16" t="inlineStr">
        <is>
          <t>PO-128-12685217055352759</t>
        </is>
      </c>
      <c r="C204" s="16" t="inlineStr">
        <is>
          <t>Delivered</t>
        </is>
      </c>
      <c r="D204" s="16" t="inlineStr">
        <is>
          <t>128-12685175112312759</t>
        </is>
      </c>
      <c r="E204" s="16" t="inlineStr">
        <is>
          <t>Delivered</t>
        </is>
      </c>
      <c r="F204" s="16" t="inlineStr">
        <is>
          <t>A500-A</t>
        </is>
      </c>
      <c r="G204" s="16" t="inlineStr">
        <is>
          <t>Bocina Bluetooth Portátil Barra de Sonido, Inalámbrica con FM Radio, TWS, USB/TF, Graves Potentes para Hogar y Exteriores</t>
        </is>
      </c>
      <c r="H204" s="16" t="inlineStr">
        <is>
          <t>AZUL</t>
        </is>
      </c>
      <c r="I204" s="16" t="n">
        <v>1</v>
      </c>
      <c r="J204" s="17" t="n">
        <v>75</v>
      </c>
      <c r="K204" s="17" t="n">
        <v>85.48</v>
      </c>
      <c r="L204" s="17" t="n">
        <v>25.86</v>
      </c>
      <c r="M204" s="17" t="n">
        <v>0</v>
      </c>
      <c r="N204" s="17">
        <f>K204*0.08+L204*0.08</f>
        <v/>
      </c>
      <c r="O204" s="17">
        <f>-(K204*0.025+L204*0.025)</f>
        <v/>
      </c>
      <c r="P204" s="17">
        <f>32</f>
        <v/>
      </c>
      <c r="Q204" s="17">
        <f>J204+L204+N204+O204-P204-M204</f>
        <v/>
      </c>
    </row>
    <row r="205">
      <c r="A205" s="16" t="inlineStr">
        <is>
          <t>5.15-5.21</t>
        </is>
      </c>
      <c r="B205" s="16" t="inlineStr">
        <is>
          <t>PO-128-12616541123192142</t>
        </is>
      </c>
      <c r="C205" s="16" t="inlineStr">
        <is>
          <t>Delivered</t>
        </is>
      </c>
      <c r="D205" s="16" t="inlineStr">
        <is>
          <t>128-12616583066232142</t>
        </is>
      </c>
      <c r="E205" s="16" t="inlineStr">
        <is>
          <t>Delivered</t>
        </is>
      </c>
      <c r="F205" s="16" t="inlineStr">
        <is>
          <t>MB-183R</t>
        </is>
      </c>
      <c r="G205" s="16" t="inlineStr">
        <is>
          <t>Linkbits Altavoz Bluetooth Portátil con Stereo Inalámbrico TWS Impermeable y a Prueba de Polvo IP65 Altavoz de Graves de Rango Completo de 52mm con Doble Unidad Ligero de 215g para Camping Senderismo y Fiestas al Aire Libre</t>
        </is>
      </c>
      <c r="H205" s="16" t="inlineStr">
        <is>
          <t>ROJO/MB-183</t>
        </is>
      </c>
      <c r="I205" s="16" t="n">
        <v>1</v>
      </c>
      <c r="J205" s="17" t="n">
        <v>70</v>
      </c>
      <c r="K205" s="17" t="n">
        <v>1.17</v>
      </c>
      <c r="L205" s="17" t="n">
        <v>25.86</v>
      </c>
      <c r="M205" s="17" t="n">
        <v>0</v>
      </c>
      <c r="N205" s="17">
        <f>K205*0.08+L205*0.08</f>
        <v/>
      </c>
      <c r="O205" s="17">
        <f>-(K205*0.025+L205*0.025)</f>
        <v/>
      </c>
      <c r="P205" s="17">
        <f>32</f>
        <v/>
      </c>
      <c r="Q205" s="17">
        <f>J205+L205+N205+O205-P205-M205</f>
        <v/>
      </c>
    </row>
    <row r="206">
      <c r="A206" s="16" t="inlineStr">
        <is>
          <t>5.15-5.21</t>
        </is>
      </c>
      <c r="B206" s="16" t="inlineStr">
        <is>
          <t>PO-128-12548906639992483</t>
        </is>
      </c>
      <c r="C206" s="16" t="inlineStr">
        <is>
          <t>Delivered</t>
        </is>
      </c>
      <c r="D206" s="16" t="inlineStr">
        <is>
          <t>128-12548869939832483</t>
        </is>
      </c>
      <c r="E206" s="16" t="inlineStr">
        <is>
          <t>Delivered</t>
        </is>
      </c>
      <c r="F206" s="16" t="inlineStr">
        <is>
          <t>A500-A</t>
        </is>
      </c>
      <c r="G206" s="16" t="inlineStr">
        <is>
          <t>Bocina Bluetooth Portátil Barra de Sonido, Inalámbrica con FM Radio, TWS, USB/TF, Graves Potentes para Hogar y Exteriores</t>
        </is>
      </c>
      <c r="H206" s="16" t="inlineStr">
        <is>
          <t>AZUL</t>
        </is>
      </c>
      <c r="I206" s="16" t="n">
        <v>1</v>
      </c>
      <c r="J206" s="17" t="n">
        <v>75</v>
      </c>
      <c r="K206" s="17" t="n">
        <v>68.39</v>
      </c>
      <c r="L206" s="17" t="n">
        <v>25.86</v>
      </c>
      <c r="M206" s="17" t="n">
        <v>0</v>
      </c>
      <c r="N206" s="17">
        <f>K206*0.08+L206*0.08</f>
        <v/>
      </c>
      <c r="O206" s="17">
        <f>-(K206*0.025+L206*0.025)</f>
        <v/>
      </c>
      <c r="P206" s="17">
        <f>32</f>
        <v/>
      </c>
      <c r="Q206" s="17">
        <f>J206+L206+N206+O206-P206-M206</f>
        <v/>
      </c>
    </row>
    <row r="207">
      <c r="A207" s="16" t="inlineStr">
        <is>
          <t>5.15-5.21</t>
        </is>
      </c>
      <c r="B207" s="16" t="inlineStr">
        <is>
          <t>PO-128-12396929321593389</t>
        </is>
      </c>
      <c r="C207" s="16" t="inlineStr">
        <is>
          <t>Delivered</t>
        </is>
      </c>
      <c r="D207" s="16" t="inlineStr">
        <is>
          <t>128-12396971264633389</t>
        </is>
      </c>
      <c r="E207" s="16" t="inlineStr">
        <is>
          <t>Delivered</t>
        </is>
      </c>
      <c r="F207" s="16" t="inlineStr">
        <is>
          <t>A500-A</t>
        </is>
      </c>
      <c r="G207" s="16" t="inlineStr">
        <is>
          <t>Bocina Bluetooth Portátil Barra de Sonido, Inalámbrica con FM Radio, TWS, USB/TF, Graves Potentes para Hogar y Exteriores</t>
        </is>
      </c>
      <c r="H207" s="16" t="inlineStr">
        <is>
          <t>AZUL</t>
        </is>
      </c>
      <c r="I207" s="16" t="n">
        <v>1</v>
      </c>
      <c r="J207" s="17" t="n">
        <v>75</v>
      </c>
      <c r="K207" s="17" t="n">
        <v>59.84</v>
      </c>
      <c r="L207" s="17" t="n">
        <v>25.86</v>
      </c>
      <c r="M207" s="17" t="n">
        <v>0</v>
      </c>
      <c r="N207" s="17">
        <f>K207*0.08+L207*0.08</f>
        <v/>
      </c>
      <c r="O207" s="17">
        <f>-(K207*0.025+L207*0.025)</f>
        <v/>
      </c>
      <c r="P207" s="17">
        <f>32</f>
        <v/>
      </c>
      <c r="Q207" s="17">
        <f>J207+L207+N207+O207-P207-M207</f>
        <v/>
      </c>
    </row>
    <row r="208">
      <c r="A208" s="16" t="inlineStr">
        <is>
          <t>5.15-5.21</t>
        </is>
      </c>
      <c r="B208" s="16" t="inlineStr">
        <is>
          <t>PO-128-12534543770233657</t>
        </is>
      </c>
      <c r="C208" s="16" t="inlineStr">
        <is>
          <t>Delivered</t>
        </is>
      </c>
      <c r="D208" s="16" t="inlineStr">
        <is>
          <t>128-12534564741753657</t>
        </is>
      </c>
      <c r="E208" s="16" t="inlineStr">
        <is>
          <t>Delivered</t>
        </is>
      </c>
      <c r="F208" s="16" t="inlineStr">
        <is>
          <t>A500-A</t>
        </is>
      </c>
      <c r="G208" s="16" t="inlineStr">
        <is>
          <t>Bocina Bluetooth Portátil Barra de Sonido, Inalámbrica con FM Radio, TWS, USB/TF, Graves Potentes para Hogar y Exteriores</t>
        </is>
      </c>
      <c r="H208" s="16" t="inlineStr">
        <is>
          <t>AZUL</t>
        </is>
      </c>
      <c r="I208" s="16" t="n">
        <v>1</v>
      </c>
      <c r="J208" s="17" t="n">
        <v>75</v>
      </c>
      <c r="K208" s="17" t="n">
        <v>85.47</v>
      </c>
      <c r="L208" s="17" t="n">
        <v>25.86</v>
      </c>
      <c r="M208" s="17" t="n">
        <v>0</v>
      </c>
      <c r="N208" s="17">
        <f>K208*0.08+L208*0.08</f>
        <v/>
      </c>
      <c r="O208" s="17">
        <f>-(K208*0.025+L208*0.025)</f>
        <v/>
      </c>
      <c r="P208" s="17">
        <f>32</f>
        <v/>
      </c>
      <c r="Q208" s="17">
        <f>J208+L208+N208+O208-P208-M208</f>
        <v/>
      </c>
    </row>
    <row r="209">
      <c r="A209" s="16" t="inlineStr">
        <is>
          <t>5.15-5.21</t>
        </is>
      </c>
      <c r="B209" s="16" t="inlineStr">
        <is>
          <t>PO-128-12844569621111681</t>
        </is>
      </c>
      <c r="C209" s="16" t="inlineStr">
        <is>
          <t>Delivered</t>
        </is>
      </c>
      <c r="D209" s="16" t="inlineStr">
        <is>
          <t>128-12844622049911681</t>
        </is>
      </c>
      <c r="E209" s="16" t="inlineStr">
        <is>
          <t>Delivered</t>
        </is>
      </c>
      <c r="F209" s="16" t="inlineStr">
        <is>
          <t>A500-R</t>
        </is>
      </c>
      <c r="G209" s="16" t="inlineStr">
        <is>
          <t>Bocina Bluetooth Portátil Barra de Sonido, Inalámbrica con FM Radio, TWS, USB/TF, Graves Potentes para Hogar y Exteriores</t>
        </is>
      </c>
      <c r="H209" s="16" t="inlineStr">
        <is>
          <t>ROIO</t>
        </is>
      </c>
      <c r="I209" s="16" t="n">
        <v>1</v>
      </c>
      <c r="J209" s="17" t="n">
        <v>78</v>
      </c>
      <c r="K209" s="17" t="n">
        <v>70.78</v>
      </c>
      <c r="L209" s="17" t="n">
        <v>13.16</v>
      </c>
      <c r="M209" s="17" t="n">
        <v>2.76</v>
      </c>
      <c r="N209" s="17">
        <f>K209*0.08+L209*0.08</f>
        <v/>
      </c>
      <c r="O209" s="17">
        <f>-(K209*0.025+L209*0.025)</f>
        <v/>
      </c>
      <c r="P209" s="17">
        <f>32</f>
        <v/>
      </c>
      <c r="Q209" s="17">
        <f>J209+L209+N209+O209-P209-M209</f>
        <v/>
      </c>
    </row>
    <row r="210">
      <c r="A210" s="16" t="inlineStr">
        <is>
          <t>5.15-5.21</t>
        </is>
      </c>
      <c r="B210" s="16" t="inlineStr">
        <is>
          <t>PO-128-12844569621111681</t>
        </is>
      </c>
      <c r="C210" s="16" t="inlineStr">
        <is>
          <t>Delivered</t>
        </is>
      </c>
      <c r="D210" s="16" t="inlineStr">
        <is>
          <t>128-12844538163831681</t>
        </is>
      </c>
      <c r="E210" s="16" t="inlineStr">
        <is>
          <t>Delivered</t>
        </is>
      </c>
      <c r="F210" s="16" t="inlineStr">
        <is>
          <t>A500-A</t>
        </is>
      </c>
      <c r="G210" s="16" t="inlineStr">
        <is>
          <t>Bocina Bluetooth Portátil Barra de Sonido, Inalámbrica con FM Radio, TWS, USB/TF, Graves Potentes para Hogar y Exteriores</t>
        </is>
      </c>
      <c r="H210" s="16" t="inlineStr">
        <is>
          <t>AZUL</t>
        </is>
      </c>
      <c r="I210" s="16" t="n">
        <v>1</v>
      </c>
      <c r="J210" s="17" t="n">
        <v>75</v>
      </c>
      <c r="K210" s="17" t="n">
        <v>68.38</v>
      </c>
      <c r="L210" s="17" t="n">
        <v>12.71</v>
      </c>
      <c r="M210" s="17" t="n">
        <v>5.55</v>
      </c>
      <c r="N210" s="17">
        <f>K210*0.08+L210*0.08</f>
        <v/>
      </c>
      <c r="O210" s="17">
        <f>-(K210*0.025+L210*0.025)</f>
        <v/>
      </c>
      <c r="P210" s="17">
        <f>32</f>
        <v/>
      </c>
      <c r="Q210" s="17">
        <f>J210+L210+N210+O210-P210-M210</f>
        <v/>
      </c>
    </row>
    <row r="211">
      <c r="A211" s="16" t="inlineStr">
        <is>
          <t>5.15-5.21</t>
        </is>
      </c>
      <c r="B211" s="16" t="inlineStr">
        <is>
          <t>PO-128-12759700501111163</t>
        </is>
      </c>
      <c r="C211" s="16" t="inlineStr">
        <is>
          <t>Delivered</t>
        </is>
      </c>
      <c r="D211" s="16" t="inlineStr">
        <is>
          <t>128-12759721472631163</t>
        </is>
      </c>
      <c r="E211" s="16" t="inlineStr">
        <is>
          <t>Delivered</t>
        </is>
      </c>
      <c r="F211" s="16" t="inlineStr">
        <is>
          <t>A500-A</t>
        </is>
      </c>
      <c r="G211" s="16" t="inlineStr">
        <is>
          <t>Bocina Bluetooth Portátil Barra de Sonido, Inalámbrica con FM Radio, TWS, USB/TF, Graves Potentes para Hogar y Exteriores</t>
        </is>
      </c>
      <c r="H211" s="16" t="inlineStr">
        <is>
          <t>AZUL</t>
        </is>
      </c>
      <c r="I211" s="16" t="n">
        <v>1</v>
      </c>
      <c r="J211" s="17" t="n">
        <v>75</v>
      </c>
      <c r="K211" s="17" t="n">
        <v>85.47</v>
      </c>
      <c r="L211" s="17" t="n">
        <v>25.86</v>
      </c>
      <c r="M211" s="17" t="n">
        <v>0</v>
      </c>
      <c r="N211" s="17">
        <f>K211*0.08+L211*0.08</f>
        <v/>
      </c>
      <c r="O211" s="17">
        <f>-(K211*0.025+L211*0.025)</f>
        <v/>
      </c>
      <c r="P211" s="17">
        <f>32</f>
        <v/>
      </c>
      <c r="Q211" s="17">
        <f>J211+L211+N211+O211-P211-M211</f>
        <v/>
      </c>
    </row>
    <row r="212">
      <c r="A212" s="16" t="inlineStr">
        <is>
          <t>5.15-5.21</t>
        </is>
      </c>
      <c r="B212" s="16" t="inlineStr">
        <is>
          <t>PO-128-12572745677432341</t>
        </is>
      </c>
      <c r="C212" s="16" t="inlineStr">
        <is>
          <t>Delivered</t>
        </is>
      </c>
      <c r="D212" s="16" t="inlineStr">
        <is>
          <t>128-12572716841592341</t>
        </is>
      </c>
      <c r="E212" s="16" t="inlineStr">
        <is>
          <t>Delivered</t>
        </is>
      </c>
      <c r="F212" s="16" t="inlineStr">
        <is>
          <t>A500-R</t>
        </is>
      </c>
      <c r="G212" s="16" t="inlineStr">
        <is>
          <t>Bocina Bluetooth Portátil Barra de Sonido, Inalámbrica con FM Radio, TWS, USB/TF, Graves Potentes para Hogar y Exteriores</t>
        </is>
      </c>
      <c r="H212" s="16" t="inlineStr">
        <is>
          <t>ROIO</t>
        </is>
      </c>
      <c r="I212" s="16" t="n">
        <v>1</v>
      </c>
      <c r="J212" s="17" t="n">
        <v>78</v>
      </c>
      <c r="K212" s="17" t="n">
        <v>88.47</v>
      </c>
      <c r="L212" s="17" t="n">
        <v>13.16</v>
      </c>
      <c r="M212" s="17" t="n">
        <v>0</v>
      </c>
      <c r="N212" s="17">
        <f>K212*0.08+L212*0.08</f>
        <v/>
      </c>
      <c r="O212" s="17">
        <f>-(K212*0.025+L212*0.025)</f>
        <v/>
      </c>
      <c r="P212" s="17">
        <f>32</f>
        <v/>
      </c>
      <c r="Q212" s="17">
        <f>J212+L212+N212+O212-P212-M212</f>
        <v/>
      </c>
    </row>
    <row r="213">
      <c r="A213" s="16" t="inlineStr">
        <is>
          <t>5.15-5.21</t>
        </is>
      </c>
      <c r="B213" s="16" t="inlineStr">
        <is>
          <t>PO-128-12572745677432341</t>
        </is>
      </c>
      <c r="C213" s="16" t="inlineStr">
        <is>
          <t>Delivered</t>
        </is>
      </c>
      <c r="D213" s="16" t="inlineStr">
        <is>
          <t>128-12572724705912341</t>
        </is>
      </c>
      <c r="E213" s="16" t="inlineStr">
        <is>
          <t>Delivered</t>
        </is>
      </c>
      <c r="F213" s="16" t="inlineStr">
        <is>
          <t>A500-A</t>
        </is>
      </c>
      <c r="G213" s="16" t="inlineStr">
        <is>
          <t>Bocina Bluetooth Portátil Barra de Sonido, Inalámbrica con FM Radio, TWS, USB/TF, Graves Potentes para Hogar y Exteriores</t>
        </is>
      </c>
      <c r="H213" s="16" t="inlineStr">
        <is>
          <t>AZUL</t>
        </is>
      </c>
      <c r="I213" s="16" t="n">
        <v>1</v>
      </c>
      <c r="J213" s="17" t="n">
        <v>75</v>
      </c>
      <c r="K213" s="17" t="n">
        <v>85.47</v>
      </c>
      <c r="L213" s="17" t="n">
        <v>12.71</v>
      </c>
      <c r="M213" s="17" t="n">
        <v>0</v>
      </c>
      <c r="N213" s="17">
        <f>K213*0.08+L213*0.08</f>
        <v/>
      </c>
      <c r="O213" s="17">
        <f>-(K213*0.025+L213*0.025)</f>
        <v/>
      </c>
      <c r="P213" s="17">
        <f>32</f>
        <v/>
      </c>
      <c r="Q213" s="17">
        <f>J213+L213+N213+O213-P213-M213</f>
        <v/>
      </c>
    </row>
    <row r="214">
      <c r="A214" s="16" t="inlineStr">
        <is>
          <t>5.15-5.21</t>
        </is>
      </c>
      <c r="B214" s="16" t="inlineStr">
        <is>
          <t>PO-128-12969786593910103</t>
        </is>
      </c>
      <c r="C214" s="16" t="inlineStr">
        <is>
          <t>Delivered</t>
        </is>
      </c>
      <c r="D214" s="16" t="inlineStr">
        <is>
          <t>128-12969744650870103</t>
        </is>
      </c>
      <c r="E214" s="16" t="inlineStr">
        <is>
          <t>Delivered</t>
        </is>
      </c>
      <c r="F214" s="16" t="inlineStr">
        <is>
          <t>MB-184N</t>
        </is>
      </c>
      <c r="G214" s="16" t="inlineStr">
        <is>
          <t>Linkbits Portable Bluetooth Speaker - 800W Peak Power, 50W Full-Range Audio with Dual Bass System &amp; Deep Bass Membranes, Powerful &amp; Distortion-Free Sound, IP65 Waterproof Dustproof, TWS Support &amp; 6H Battery for Outdoor/Party</t>
        </is>
      </c>
      <c r="H214" s="16" t="inlineStr">
        <is>
          <t>NEGRO/MB-184</t>
        </is>
      </c>
      <c r="I214" s="16" t="n">
        <v>1</v>
      </c>
      <c r="J214" s="17" t="n">
        <v>588.0599999999999</v>
      </c>
      <c r="K214" s="17" t="n">
        <v>697.67</v>
      </c>
      <c r="L214" s="17" t="n">
        <v>0</v>
      </c>
      <c r="M214" s="17" t="n">
        <v>0</v>
      </c>
      <c r="N214" s="17">
        <f>K214*0.08+L214*0.08</f>
        <v/>
      </c>
      <c r="O214" s="17">
        <f>-(K214*0.025+L214*0.025)</f>
        <v/>
      </c>
      <c r="P214" s="17">
        <f>32</f>
        <v/>
      </c>
      <c r="Q214" s="17">
        <f>J214+L214+N214+O214-P214-M214</f>
        <v/>
      </c>
    </row>
    <row r="215">
      <c r="A215" s="16" t="inlineStr">
        <is>
          <t>5.15-5.21</t>
        </is>
      </c>
      <c r="B215" s="16" t="inlineStr">
        <is>
          <t>PO-128-12514462792313838</t>
        </is>
      </c>
      <c r="C215" s="16" t="inlineStr">
        <is>
          <t>Delivered</t>
        </is>
      </c>
      <c r="D215" s="16" t="inlineStr">
        <is>
          <t>128-12514542746233838</t>
        </is>
      </c>
      <c r="E215" s="16" t="inlineStr">
        <is>
          <t>Delivered</t>
        </is>
      </c>
      <c r="F215" s="16" t="inlineStr">
        <is>
          <t>A500-R</t>
        </is>
      </c>
      <c r="G215" s="16" t="inlineStr">
        <is>
          <t>Bocina Bluetooth Portátil Barra de Sonido, Inalámbrica con FM Radio, TWS, USB/TF, Graves Potentes para Hogar y Exteriores</t>
        </is>
      </c>
      <c r="H215" s="16" t="inlineStr">
        <is>
          <t>ROIO</t>
        </is>
      </c>
      <c r="I215" s="16" t="n">
        <v>1</v>
      </c>
      <c r="J215" s="17" t="n">
        <v>78</v>
      </c>
      <c r="K215" s="17" t="n">
        <v>88.47</v>
      </c>
      <c r="L215" s="17" t="n">
        <v>25.86</v>
      </c>
      <c r="M215" s="17" t="n">
        <v>0</v>
      </c>
      <c r="N215" s="17">
        <f>K215*0.08+L215*0.08</f>
        <v/>
      </c>
      <c r="O215" s="17">
        <f>-(K215*0.025+L215*0.025)</f>
        <v/>
      </c>
      <c r="P215" s="17">
        <f>32</f>
        <v/>
      </c>
      <c r="Q215" s="17">
        <f>J215+L215+N215+O215-P215-M215</f>
        <v/>
      </c>
    </row>
    <row r="216">
      <c r="A216" s="16" t="inlineStr">
        <is>
          <t>5.15-5.21</t>
        </is>
      </c>
      <c r="B216" s="16" t="inlineStr">
        <is>
          <t>PO-128-12803377685111924</t>
        </is>
      </c>
      <c r="C216" s="16" t="inlineStr">
        <is>
          <t>Delivered</t>
        </is>
      </c>
      <c r="D216" s="16" t="inlineStr">
        <is>
          <t>128-12803513999991924</t>
        </is>
      </c>
      <c r="E216" s="16" t="inlineStr">
        <is>
          <t>Delivered</t>
        </is>
      </c>
      <c r="F216" s="16" t="inlineStr">
        <is>
          <t>A500-A</t>
        </is>
      </c>
      <c r="G216" s="16" t="inlineStr">
        <is>
          <t>Bocina Bluetooth Portátil Barra de Sonido, Inalámbrica con FM Radio, TWS, USB/TF, Graves Potentes para Hogar y Exteriores</t>
        </is>
      </c>
      <c r="H216" s="16" t="inlineStr">
        <is>
          <t>AZUL</t>
        </is>
      </c>
      <c r="I216" s="16" t="n">
        <v>1</v>
      </c>
      <c r="J216" s="17" t="n">
        <v>75</v>
      </c>
      <c r="K216" s="17" t="n">
        <v>85.47</v>
      </c>
      <c r="L216" s="17" t="n">
        <v>25.86</v>
      </c>
      <c r="M216" s="17" t="n">
        <v>0</v>
      </c>
      <c r="N216" s="17">
        <f>K216*0.08+L216*0.08</f>
        <v/>
      </c>
      <c r="O216" s="17">
        <f>-(K216*0.025+L216*0.025)</f>
        <v/>
      </c>
      <c r="P216" s="17">
        <f>32</f>
        <v/>
      </c>
      <c r="Q216" s="17">
        <f>J216+L216+N216+O216-P216-M216</f>
        <v/>
      </c>
    </row>
    <row r="217">
      <c r="A217" s="16" t="inlineStr">
        <is>
          <t>5.15-5.21</t>
        </is>
      </c>
      <c r="B217" s="16" t="inlineStr">
        <is>
          <t>PO-128-12900856796790449</t>
        </is>
      </c>
      <c r="C217" s="16" t="inlineStr">
        <is>
          <t>Delivered</t>
        </is>
      </c>
      <c r="D217" s="16" t="inlineStr">
        <is>
          <t>128-12900909225590449</t>
        </is>
      </c>
      <c r="E217" s="16" t="inlineStr">
        <is>
          <t>Delivered</t>
        </is>
      </c>
      <c r="F217" s="16" t="inlineStr">
        <is>
          <t>A500-R</t>
        </is>
      </c>
      <c r="G217" s="16" t="inlineStr">
        <is>
          <t>Bocina Bluetooth Portátil Barra de Sonido, Inalámbrica con FM Radio, TWS, USB/TF, Graves Potentes para Hogar y Exteriores</t>
        </is>
      </c>
      <c r="H217" s="16" t="inlineStr">
        <is>
          <t>ROIO</t>
        </is>
      </c>
      <c r="I217" s="16" t="n">
        <v>1</v>
      </c>
      <c r="J217" s="17" t="n">
        <v>78</v>
      </c>
      <c r="K217" s="17" t="n">
        <v>70.78</v>
      </c>
      <c r="L217" s="17" t="n">
        <v>25.86</v>
      </c>
      <c r="M217" s="17" t="n">
        <v>0</v>
      </c>
      <c r="N217" s="17">
        <f>K217*0.08+L217*0.08</f>
        <v/>
      </c>
      <c r="O217" s="17">
        <f>-(K217*0.025+L217*0.025)</f>
        <v/>
      </c>
      <c r="P217" s="17">
        <f>32</f>
        <v/>
      </c>
      <c r="Q217" s="17">
        <f>J217+L217+N217+O217-P217-M217</f>
        <v/>
      </c>
    </row>
    <row r="218">
      <c r="A218" s="16" t="inlineStr">
        <is>
          <t>5.15-5.21</t>
        </is>
      </c>
      <c r="B218" s="16" t="inlineStr">
        <is>
          <t>PO-128-12385745511033582</t>
        </is>
      </c>
      <c r="C218" s="16" t="inlineStr">
        <is>
          <t>Delivered</t>
        </is>
      </c>
      <c r="D218" s="16" t="inlineStr">
        <is>
          <t>128-12385771725433582</t>
        </is>
      </c>
      <c r="E218" s="16" t="inlineStr">
        <is>
          <t>Delivered</t>
        </is>
      </c>
      <c r="F218" s="16" t="inlineStr">
        <is>
          <t>A500-N</t>
        </is>
      </c>
      <c r="G218" s="16" t="inlineStr">
        <is>
          <t>Bocina Bluetooth Portátil Barra de Sonido, Inalámbrica con FM Radio, TWS, USB/TF, Graves Potentes para Hogar y Exteriores</t>
        </is>
      </c>
      <c r="H218" s="16" t="inlineStr">
        <is>
          <t>NEGRO</t>
        </is>
      </c>
      <c r="I218" s="16" t="n">
        <v>1</v>
      </c>
      <c r="J218" s="17" t="n">
        <v>79</v>
      </c>
      <c r="K218" s="17" t="n">
        <v>91.84</v>
      </c>
      <c r="L218" s="17" t="n">
        <v>25.86</v>
      </c>
      <c r="M218" s="17" t="n">
        <v>0</v>
      </c>
      <c r="N218" s="17">
        <f>K218*0.08+L218*0.08</f>
        <v/>
      </c>
      <c r="O218" s="17">
        <f>-(K218*0.025+L218*0.025)</f>
        <v/>
      </c>
      <c r="P218" s="17">
        <f>32</f>
        <v/>
      </c>
      <c r="Q218" s="17">
        <f>J218+L218+N218+O218-P218-M218</f>
        <v/>
      </c>
    </row>
    <row r="219">
      <c r="A219" s="16" t="inlineStr">
        <is>
          <t>5.15-5.21</t>
        </is>
      </c>
      <c r="B219" s="16" t="inlineStr">
        <is>
          <t>PO-128-12773150485111275</t>
        </is>
      </c>
      <c r="C219" s="16" t="inlineStr">
        <is>
          <t>Delivered</t>
        </is>
      </c>
      <c r="D219" s="16" t="inlineStr">
        <is>
          <t>128-12773108542071275</t>
        </is>
      </c>
      <c r="E219" s="16" t="inlineStr">
        <is>
          <t>Delivered</t>
        </is>
      </c>
      <c r="F219" s="16" t="inlineStr">
        <is>
          <t>A500-A</t>
        </is>
      </c>
      <c r="G219" s="16" t="inlineStr">
        <is>
          <t>Bocina Bluetooth Portátil Barra de Sonido, Inalámbrica con FM Radio, TWS, USB/TF, Graves Potentes para Hogar y Exteriores</t>
        </is>
      </c>
      <c r="H219" s="16" t="inlineStr">
        <is>
          <t>AZUL</t>
        </is>
      </c>
      <c r="I219" s="16" t="n">
        <v>1</v>
      </c>
      <c r="J219" s="17" t="n">
        <v>75</v>
      </c>
      <c r="K219" s="17" t="n">
        <v>85.47</v>
      </c>
      <c r="L219" s="17" t="n">
        <v>25.86</v>
      </c>
      <c r="M219" s="17" t="n">
        <v>0</v>
      </c>
      <c r="N219" s="17">
        <f>K219*0.08+L219*0.08</f>
        <v/>
      </c>
      <c r="O219" s="17">
        <f>-(K219*0.025+L219*0.025)</f>
        <v/>
      </c>
      <c r="P219" s="17">
        <f>32</f>
        <v/>
      </c>
      <c r="Q219" s="17">
        <f>J219+L219+N219+O219-P219-M219</f>
        <v/>
      </c>
    </row>
    <row r="220">
      <c r="A220" s="16" t="inlineStr">
        <is>
          <t>5.15-5.21</t>
        </is>
      </c>
      <c r="B220" s="16" t="inlineStr">
        <is>
          <t>PO-128-12884759655031633</t>
        </is>
      </c>
      <c r="C220" s="16" t="inlineStr">
        <is>
          <t>Delivered</t>
        </is>
      </c>
      <c r="D220" s="16" t="inlineStr">
        <is>
          <t>128-12884864512631633</t>
        </is>
      </c>
      <c r="E220" s="16" t="inlineStr">
        <is>
          <t>Delivered</t>
        </is>
      </c>
      <c r="F220" s="16" t="inlineStr">
        <is>
          <t>A500-N</t>
        </is>
      </c>
      <c r="G220" s="16" t="inlineStr">
        <is>
          <t>Bocina Bluetooth Portátil Barra de Sonido, Inalámbrica con FM Radio, TWS, USB/TF, Graves Potentes para Hogar y Exteriores</t>
        </is>
      </c>
      <c r="H220" s="16" t="inlineStr">
        <is>
          <t>NEGRO</t>
        </is>
      </c>
      <c r="I220" s="16" t="n">
        <v>1</v>
      </c>
      <c r="J220" s="17" t="n">
        <v>79</v>
      </c>
      <c r="K220" s="17" t="n">
        <v>91.84</v>
      </c>
      <c r="L220" s="17" t="n">
        <v>25.86</v>
      </c>
      <c r="M220" s="17" t="n">
        <v>0</v>
      </c>
      <c r="N220" s="17">
        <f>K220*0.08+L220*0.08</f>
        <v/>
      </c>
      <c r="O220" s="17">
        <f>-(K220*0.025+L220*0.025)</f>
        <v/>
      </c>
      <c r="P220" s="17">
        <f>32</f>
        <v/>
      </c>
      <c r="Q220" s="17">
        <f>J220+L220+N220+O220-P220-M220</f>
        <v/>
      </c>
    </row>
    <row r="221">
      <c r="A221" s="16" t="inlineStr">
        <is>
          <t>5.15-5.21</t>
        </is>
      </c>
      <c r="B221" s="16" t="inlineStr">
        <is>
          <t>PO-128-12723870449271502</t>
        </is>
      </c>
      <c r="C221" s="16" t="inlineStr">
        <is>
          <t>Delivered</t>
        </is>
      </c>
      <c r="D221" s="16" t="inlineStr">
        <is>
          <t>128-12723975306871502</t>
        </is>
      </c>
      <c r="E221" s="16" t="inlineStr">
        <is>
          <t>Delivered</t>
        </is>
      </c>
      <c r="F221" s="16" t="inlineStr">
        <is>
          <t>F025</t>
        </is>
      </c>
      <c r="G221" s="16" t="inlineStr">
        <is>
          <t>Sopladora Turbo Inalámbrica 130000 RPM - Aire Comprimido Eléctrico con Batería 8400mAh, Carga Rápida 2.5H, Ajuste Infinito de Velocidad, Kit Limpieza Multiuso para PC, Coche, Hogar y Exteriores</t>
        </is>
      </c>
      <c r="H221" s="16" t="inlineStr">
        <is>
          <t>Unidad Individual/1Pieza</t>
        </is>
      </c>
      <c r="I221" s="16" t="n">
        <v>1</v>
      </c>
      <c r="J221" s="17" t="n">
        <v>144</v>
      </c>
      <c r="K221" s="17" t="n">
        <v>37.94</v>
      </c>
      <c r="L221" s="17" t="n">
        <v>25.86</v>
      </c>
      <c r="M221" s="17" t="n">
        <v>0</v>
      </c>
      <c r="N221" s="17">
        <f>K221*0.08+L221*0.08</f>
        <v/>
      </c>
      <c r="O221" s="17">
        <f>-(K221*0.025+L221*0.025)</f>
        <v/>
      </c>
      <c r="P221" s="17">
        <f>32</f>
        <v/>
      </c>
      <c r="Q221" s="17">
        <f>J221+L221+N221+O221-P221-M221</f>
        <v/>
      </c>
    </row>
    <row r="222">
      <c r="A222" s="16" t="inlineStr">
        <is>
          <t>5.15-5.21</t>
        </is>
      </c>
      <c r="B222" s="16" t="inlineStr">
        <is>
          <t>PO-128-12677360860792740</t>
        </is>
      </c>
      <c r="C222" s="16" t="inlineStr">
        <is>
          <t>Delivered</t>
        </is>
      </c>
      <c r="D222" s="16" t="inlineStr">
        <is>
          <t>128-12677318917752740</t>
        </is>
      </c>
      <c r="E222" s="16" t="inlineStr">
        <is>
          <t>Delivered</t>
        </is>
      </c>
      <c r="F222" s="16" t="inlineStr">
        <is>
          <t>A500-A</t>
        </is>
      </c>
      <c r="G222" s="16" t="inlineStr">
        <is>
          <t>Bocina Bluetooth Portátil Barra de Sonido, Inalámbrica con FM Radio, TWS, USB/TF, Graves Potentes para Hogar y Exteriores</t>
        </is>
      </c>
      <c r="H222" s="16" t="inlineStr">
        <is>
          <t>AZUL</t>
        </is>
      </c>
      <c r="I222" s="16" t="n">
        <v>1</v>
      </c>
      <c r="J222" s="17" t="n">
        <v>78.88</v>
      </c>
      <c r="K222" s="17" t="n">
        <v>29.01</v>
      </c>
      <c r="L222" s="17" t="n">
        <v>25.86</v>
      </c>
      <c r="M222" s="17" t="n">
        <v>0</v>
      </c>
      <c r="N222" s="17">
        <f>K222*0.08+L222*0.08</f>
        <v/>
      </c>
      <c r="O222" s="17">
        <f>-(K222*0.025+L222*0.025)</f>
        <v/>
      </c>
      <c r="P222" s="17">
        <f>32</f>
        <v/>
      </c>
      <c r="Q222" s="17">
        <f>J222+L222+N222+O222-P222-M222</f>
        <v/>
      </c>
    </row>
    <row r="223">
      <c r="A223" s="16" t="inlineStr">
        <is>
          <t>5.15-5.21</t>
        </is>
      </c>
      <c r="B223" s="16" t="inlineStr">
        <is>
          <t>PO-128-12951242291830021</t>
        </is>
      </c>
      <c r="C223" s="16" t="inlineStr">
        <is>
          <t>Delivered</t>
        </is>
      </c>
      <c r="D223" s="16" t="inlineStr">
        <is>
          <t>128-12951284234870021</t>
        </is>
      </c>
      <c r="E223" s="16" t="inlineStr">
        <is>
          <t>Delivered</t>
        </is>
      </c>
      <c r="F223" s="16" t="inlineStr">
        <is>
          <t>A500-N</t>
        </is>
      </c>
      <c r="G223" s="16" t="inlineStr">
        <is>
          <t>Bocina Bluetooth Portátil Barra de Sonido, Inalámbrica con FM Radio, TWS, USB/TF, Graves Potentes para Hogar y Exteriores</t>
        </is>
      </c>
      <c r="H223" s="16" t="inlineStr">
        <is>
          <t>NEGRO</t>
        </is>
      </c>
      <c r="I223" s="16" t="n">
        <v>1</v>
      </c>
      <c r="J223" s="17" t="n">
        <v>77.23</v>
      </c>
      <c r="K223" s="17" t="n">
        <v>90.06999999999999</v>
      </c>
      <c r="L223" s="17" t="n">
        <v>25.86</v>
      </c>
      <c r="M223" s="17" t="n">
        <v>0</v>
      </c>
      <c r="N223" s="17">
        <f>K223*0.08+L223*0.08</f>
        <v/>
      </c>
      <c r="O223" s="17">
        <f>-(K223*0.025+L223*0.025)</f>
        <v/>
      </c>
      <c r="P223" s="17">
        <f>32</f>
        <v/>
      </c>
      <c r="Q223" s="17">
        <f>J223+L223+N223+O223-P223-M223</f>
        <v/>
      </c>
    </row>
    <row r="224">
      <c r="A224" s="16" t="inlineStr">
        <is>
          <t>5.15-5.21</t>
        </is>
      </c>
      <c r="B224" s="16" t="inlineStr">
        <is>
          <t>PO-128-12672339343992707</t>
        </is>
      </c>
      <c r="C224" s="16" t="inlineStr">
        <is>
          <t>Delivered</t>
        </is>
      </c>
      <c r="D224" s="16" t="inlineStr">
        <is>
          <t>128-12672362936952707</t>
        </is>
      </c>
      <c r="E224" s="16" t="inlineStr">
        <is>
          <t>Delivered</t>
        </is>
      </c>
      <c r="F224" s="16" t="inlineStr">
        <is>
          <t>A500-N</t>
        </is>
      </c>
      <c r="G224" s="16" t="inlineStr">
        <is>
          <t>Bocina Bluetooth Portátil Barra de Sonido, Inalámbrica con FM Radio, TWS, USB/TF, Graves Potentes para Hogar y Exteriores</t>
        </is>
      </c>
      <c r="H224" s="16" t="inlineStr">
        <is>
          <t>NEGRO</t>
        </is>
      </c>
      <c r="I224" s="16" t="n">
        <v>1</v>
      </c>
      <c r="J224" s="17" t="n">
        <v>77.23</v>
      </c>
      <c r="K224" s="17" t="n">
        <v>90.06999999999999</v>
      </c>
      <c r="L224" s="17" t="n">
        <v>25.86</v>
      </c>
      <c r="M224" s="17" t="n">
        <v>0</v>
      </c>
      <c r="N224" s="17">
        <f>K224*0.08+L224*0.08</f>
        <v/>
      </c>
      <c r="O224" s="17">
        <f>-(K224*0.025+L224*0.025)</f>
        <v/>
      </c>
      <c r="P224" s="17">
        <f>32</f>
        <v/>
      </c>
      <c r="Q224" s="17">
        <f>J224+L224+N224+O224-P224-M224</f>
        <v/>
      </c>
    </row>
    <row r="225">
      <c r="A225" s="16" t="inlineStr">
        <is>
          <t>5.15-5.21</t>
        </is>
      </c>
      <c r="B225" s="16" t="inlineStr">
        <is>
          <t>PO-128-12933924977270186</t>
        </is>
      </c>
      <c r="C225" s="16" t="inlineStr">
        <is>
          <t>Delivered</t>
        </is>
      </c>
      <c r="D225" s="16" t="inlineStr">
        <is>
          <t>128-12934029834870186</t>
        </is>
      </c>
      <c r="E225" s="16" t="inlineStr">
        <is>
          <t>Delivered</t>
        </is>
      </c>
      <c r="F225" s="16" t="inlineStr">
        <is>
          <t>A500-N</t>
        </is>
      </c>
      <c r="G225" s="16" t="inlineStr">
        <is>
          <t>Bocina Bluetooth Portátil Barra de Sonido, Inalámbrica con FM Radio, TWS, USB/TF, Graves Potentes para Hogar y Exteriores</t>
        </is>
      </c>
      <c r="H225" s="16" t="inlineStr">
        <is>
          <t>NEGRO</t>
        </is>
      </c>
      <c r="I225" s="16" t="n">
        <v>1</v>
      </c>
      <c r="J225" s="17" t="n">
        <v>77.23</v>
      </c>
      <c r="K225" s="17" t="n">
        <v>90.06999999999999</v>
      </c>
      <c r="L225" s="17" t="n">
        <v>25.86</v>
      </c>
      <c r="M225" s="17" t="n">
        <v>0</v>
      </c>
      <c r="N225" s="17">
        <f>K225*0.08+L225*0.08</f>
        <v/>
      </c>
      <c r="O225" s="17">
        <f>-(K225*0.025+L225*0.025)</f>
        <v/>
      </c>
      <c r="P225" s="17">
        <f>32</f>
        <v/>
      </c>
      <c r="Q225" s="17">
        <f>J225+L225+N225+O225-P225-M225</f>
        <v/>
      </c>
    </row>
    <row r="226">
      <c r="A226" s="16" t="inlineStr">
        <is>
          <t>5.15-5.21</t>
        </is>
      </c>
      <c r="B226" s="16" t="inlineStr">
        <is>
          <t>PO-128-12951208510070021</t>
        </is>
      </c>
      <c r="C226" s="16" t="inlineStr">
        <is>
          <t>Delivered</t>
        </is>
      </c>
      <c r="D226" s="16" t="inlineStr">
        <is>
          <t>128-12951187538550021</t>
        </is>
      </c>
      <c r="E226" s="16" t="inlineStr">
        <is>
          <t>Delivered</t>
        </is>
      </c>
      <c r="F226" s="16" t="inlineStr">
        <is>
          <t>A500-N</t>
        </is>
      </c>
      <c r="G226" s="16" t="inlineStr">
        <is>
          <t>Bocina Bluetooth Portátil Barra de Sonido, Inalámbrica con FM Radio, TWS, USB/TF, Graves Potentes para Hogar y Exteriores</t>
        </is>
      </c>
      <c r="H226" s="16" t="inlineStr">
        <is>
          <t>NEGRO</t>
        </is>
      </c>
      <c r="I226" s="16" t="n">
        <v>1</v>
      </c>
      <c r="J226" s="17" t="n">
        <v>77.23</v>
      </c>
      <c r="K226" s="17" t="n">
        <v>90.06999999999999</v>
      </c>
      <c r="L226" s="17" t="n">
        <v>25.86</v>
      </c>
      <c r="M226" s="17" t="n">
        <v>0</v>
      </c>
      <c r="N226" s="17">
        <f>K226*0.08+L226*0.08</f>
        <v/>
      </c>
      <c r="O226" s="17">
        <f>-(K226*0.025+L226*0.025)</f>
        <v/>
      </c>
      <c r="P226" s="17">
        <f>32</f>
        <v/>
      </c>
      <c r="Q226" s="17">
        <f>J226+L226+N226+O226-P226-M226</f>
        <v/>
      </c>
    </row>
    <row r="227">
      <c r="A227" s="16" t="inlineStr">
        <is>
          <t>5.15-5.21</t>
        </is>
      </c>
      <c r="B227" s="16" t="inlineStr">
        <is>
          <t>PO-128-01408615235193410</t>
        </is>
      </c>
      <c r="C227" s="16" t="inlineStr">
        <is>
          <t>Delivered</t>
        </is>
      </c>
      <c r="D227" s="16" t="inlineStr">
        <is>
          <t>128-01408698629753410</t>
        </is>
      </c>
      <c r="E227" s="16" t="inlineStr">
        <is>
          <t>Delivered</t>
        </is>
      </c>
      <c r="F227" s="16" t="inlineStr">
        <is>
          <t>F025</t>
        </is>
      </c>
      <c r="G227" s="16" t="inlineStr">
        <is>
          <t>Sopladora Turbo Inalámbrica 130000 RPM - Aire Comprimido Eléctrico con Batería 8400mAh, Carga Rápida 2.5H, Ajuste Infinito de Velocidad, Kit Limpieza Multiuso para PC, Coche, Hogar y Exteriores</t>
        </is>
      </c>
      <c r="H227" s="16" t="inlineStr">
        <is>
          <t>Unidad Individual/1Pieza</t>
        </is>
      </c>
      <c r="I227" s="16" t="n">
        <v>1</v>
      </c>
      <c r="J227" s="17" t="n">
        <v>152</v>
      </c>
      <c r="K227" s="17" t="n">
        <v>201.11</v>
      </c>
      <c r="L227" s="17" t="n">
        <v>25.86</v>
      </c>
      <c r="M227" s="17" t="n">
        <v>0</v>
      </c>
      <c r="N227" s="17">
        <f>K227*0.08+L227*0.08</f>
        <v/>
      </c>
      <c r="O227" s="17">
        <f>-(K227*0.025+L227*0.025)</f>
        <v/>
      </c>
      <c r="P227" s="17">
        <f>32</f>
        <v/>
      </c>
      <c r="Q227" s="17">
        <f>J227+L227+N227+O227-P227-M227</f>
        <v/>
      </c>
    </row>
    <row r="228">
      <c r="A228" s="16" t="inlineStr">
        <is>
          <t>5.15-5.21</t>
        </is>
      </c>
      <c r="B228" s="16" t="inlineStr">
        <is>
          <t>PO-128-01381914378873506</t>
        </is>
      </c>
      <c r="C228" s="16" t="inlineStr">
        <is>
          <t>Delivered</t>
        </is>
      </c>
      <c r="D228" s="16" t="inlineStr">
        <is>
          <t>128-01381903893113506</t>
        </is>
      </c>
      <c r="E228" s="16" t="inlineStr">
        <is>
          <t>Delivered</t>
        </is>
      </c>
      <c r="F228" s="16" t="inlineStr">
        <is>
          <t>A500-N</t>
        </is>
      </c>
      <c r="G228" s="16" t="inlineStr">
        <is>
          <t>Bocina Bluetooth Portátil Barra de Sonido, Inalámbrica con FM Radio, TWS, USB/TF, Graves Potentes para Hogar y Exteriores</t>
        </is>
      </c>
      <c r="H228" s="16" t="inlineStr">
        <is>
          <t>NEGRO</t>
        </is>
      </c>
      <c r="I228" s="16" t="n">
        <v>1</v>
      </c>
      <c r="J228" s="17" t="n">
        <v>77.23</v>
      </c>
      <c r="K228" s="17" t="n">
        <v>77.48</v>
      </c>
      <c r="L228" s="17" t="n">
        <v>25.86</v>
      </c>
      <c r="M228" s="17" t="n">
        <v>0</v>
      </c>
      <c r="N228" s="17">
        <f>K228*0.08+L228*0.08</f>
        <v/>
      </c>
      <c r="O228" s="17">
        <f>-(K228*0.025+L228*0.025)</f>
        <v/>
      </c>
      <c r="P228" s="17">
        <f>32</f>
        <v/>
      </c>
      <c r="Q228" s="17">
        <f>J228+L228+N228+O228-P228-M228</f>
        <v/>
      </c>
    </row>
    <row r="229">
      <c r="A229" s="16" t="inlineStr">
        <is>
          <t>5.15-5.21</t>
        </is>
      </c>
      <c r="B229" s="16" t="inlineStr">
        <is>
          <t>PO-128-01916595482230257</t>
        </is>
      </c>
      <c r="C229" s="16" t="inlineStr">
        <is>
          <t>Delivered</t>
        </is>
      </c>
      <c r="D229" s="16" t="inlineStr">
        <is>
          <t>128-01916553539190257</t>
        </is>
      </c>
      <c r="E229" s="16" t="inlineStr">
        <is>
          <t>Delivered</t>
        </is>
      </c>
      <c r="F229" s="16" t="inlineStr">
        <is>
          <t>MB-185R</t>
        </is>
      </c>
      <c r="G229" s="16" t="inlineStr">
        <is>
          <t>Bocina Radio FM/Reproductor, Compatible con Tarjeta TF, USB, Bluetooth, Aplicable para celular, computadora, Ipad y consola</t>
        </is>
      </c>
      <c r="H229" s="16" t="inlineStr">
        <is>
          <t>ROJO/MB-185</t>
        </is>
      </c>
      <c r="I229" s="16" t="n">
        <v>1</v>
      </c>
      <c r="J229" s="17" t="n">
        <v>75.5</v>
      </c>
      <c r="K229" s="17" t="n">
        <v>88.44</v>
      </c>
      <c r="L229" s="17" t="n">
        <v>25.86</v>
      </c>
      <c r="M229" s="17" t="n">
        <v>0</v>
      </c>
      <c r="N229" s="17">
        <f>K229*0.08+L229*0.08</f>
        <v/>
      </c>
      <c r="O229" s="17">
        <f>-(K229*0.025+L229*0.025)</f>
        <v/>
      </c>
      <c r="P229" s="17">
        <f>32</f>
        <v/>
      </c>
      <c r="Q229" s="17">
        <f>J229+L229+N229+O229-P229-M229</f>
        <v/>
      </c>
    </row>
    <row r="230">
      <c r="A230" s="16" t="inlineStr">
        <is>
          <t>5.15-5.21</t>
        </is>
      </c>
      <c r="B230" s="16" t="inlineStr">
        <is>
          <t>PO-128-01832010655351849</t>
        </is>
      </c>
      <c r="C230" s="16" t="inlineStr">
        <is>
          <t>Delivered</t>
        </is>
      </c>
      <c r="D230" s="16" t="inlineStr">
        <is>
          <t>128-01832031626871849</t>
        </is>
      </c>
      <c r="E230" s="16" t="inlineStr">
        <is>
          <t>Delivered</t>
        </is>
      </c>
      <c r="F230" s="16" t="inlineStr">
        <is>
          <t>A500-N</t>
        </is>
      </c>
      <c r="G230" s="16" t="inlineStr">
        <is>
          <t>Bocina Bluetooth Portátil Barra de Sonido, Inalámbrica con FM Radio, TWS, USB/TF, Graves Potentes para Hogar y Exteriores</t>
        </is>
      </c>
      <c r="H230" s="16" t="inlineStr">
        <is>
          <t>NEGRO</t>
        </is>
      </c>
      <c r="I230" s="16" t="n">
        <v>1</v>
      </c>
      <c r="J230" s="17" t="n">
        <v>77.23</v>
      </c>
      <c r="K230" s="17" t="n">
        <v>81.7</v>
      </c>
      <c r="L230" s="17" t="n">
        <v>25.86</v>
      </c>
      <c r="M230" s="17" t="n">
        <v>0</v>
      </c>
      <c r="N230" s="17">
        <f>K230*0.08+L230*0.08</f>
        <v/>
      </c>
      <c r="O230" s="17">
        <f>-(K230*0.025+L230*0.025)</f>
        <v/>
      </c>
      <c r="P230" s="17">
        <f>32</f>
        <v/>
      </c>
      <c r="Q230" s="17">
        <f>J230+L230+N230+O230-P230-M230</f>
        <v/>
      </c>
    </row>
    <row r="231">
      <c r="A231" s="16" t="inlineStr">
        <is>
          <t>5.15-5.21</t>
        </is>
      </c>
      <c r="B231" s="16" t="inlineStr">
        <is>
          <t>PO-128-01458107925113181</t>
        </is>
      </c>
      <c r="C231" s="16" t="inlineStr">
        <is>
          <t>Delivered</t>
        </is>
      </c>
      <c r="D231" s="16" t="inlineStr">
        <is>
          <t>128-01458275451513181</t>
        </is>
      </c>
      <c r="E231" s="16" t="inlineStr">
        <is>
          <t>Delivered</t>
        </is>
      </c>
      <c r="F231" s="16" t="inlineStr">
        <is>
          <t>A500-R</t>
        </is>
      </c>
      <c r="G231" s="16" t="inlineStr">
        <is>
          <t>Bocina Bluetooth Portátil Barra de Sonido, Inalámbrica con FM Radio, TWS, USB/TF, Graves Potentes para Hogar y Exteriores</t>
        </is>
      </c>
      <c r="H231" s="16" t="inlineStr">
        <is>
          <t>ROIO</t>
        </is>
      </c>
      <c r="I231" s="16" t="n">
        <v>1</v>
      </c>
      <c r="J231" s="17" t="n">
        <v>80</v>
      </c>
      <c r="K231" s="17" t="n">
        <v>90.47</v>
      </c>
      <c r="L231" s="17" t="n">
        <v>25.86</v>
      </c>
      <c r="M231" s="17" t="n">
        <v>0</v>
      </c>
      <c r="N231" s="17">
        <f>K231*0.08+L231*0.08</f>
        <v/>
      </c>
      <c r="O231" s="17">
        <f>-(K231*0.025+L231*0.025)</f>
        <v/>
      </c>
      <c r="P231" s="17">
        <f>32</f>
        <v/>
      </c>
      <c r="Q231" s="17">
        <f>J231+L231+N231+O231-P231-M231</f>
        <v/>
      </c>
    </row>
    <row r="232">
      <c r="A232" s="16" t="inlineStr">
        <is>
          <t>5.15-5.21</t>
        </is>
      </c>
      <c r="B232" s="16" t="inlineStr">
        <is>
          <t>PO-128-01436531850873308</t>
        </is>
      </c>
      <c r="C232" s="16" t="inlineStr">
        <is>
          <t>Delivered</t>
        </is>
      </c>
      <c r="D232" s="16" t="inlineStr">
        <is>
          <t>128-01436489907833308</t>
        </is>
      </c>
      <c r="E232" s="16" t="inlineStr">
        <is>
          <t>Delivered</t>
        </is>
      </c>
      <c r="F232" s="16" t="inlineStr">
        <is>
          <t>SA320T-A</t>
        </is>
      </c>
      <c r="G232" s="16" t="inlineStr">
        <is>
          <t>Altavoz inalámbrico portátil con Luces RGB, Radio FM y Manija - 5h Duración, TWS, TF Card, Compacto y Recargable via USB，Perfecto para viajes, fiestas y gaming</t>
        </is>
      </c>
      <c r="H232" s="16" t="inlineStr">
        <is>
          <t>azul</t>
        </is>
      </c>
      <c r="I232" s="16" t="n">
        <v>1</v>
      </c>
      <c r="J232" s="17" t="n">
        <v>57</v>
      </c>
      <c r="K232" s="17" t="n">
        <v>67.72</v>
      </c>
      <c r="L232" s="17" t="n">
        <v>25.86</v>
      </c>
      <c r="M232" s="17" t="n">
        <v>0</v>
      </c>
      <c r="N232" s="17">
        <f>K232*0.08+L232*0.08</f>
        <v/>
      </c>
      <c r="O232" s="17">
        <f>-(K232*0.025+L232*0.025)</f>
        <v/>
      </c>
      <c r="P232" s="17">
        <f>32</f>
        <v/>
      </c>
      <c r="Q232" s="17">
        <f>J232+L232+N232+O232-P232-M232</f>
        <v/>
      </c>
    </row>
    <row r="233">
      <c r="A233" s="16" t="inlineStr">
        <is>
          <t>5.15-5.21</t>
        </is>
      </c>
      <c r="B233" s="16" t="inlineStr">
        <is>
          <t>PO-128-01970121608310064</t>
        </is>
      </c>
      <c r="C233" s="16" t="inlineStr">
        <is>
          <t>Delivered</t>
        </is>
      </c>
      <c r="D233" s="16" t="inlineStr">
        <is>
          <t>128-01970079665270064</t>
        </is>
      </c>
      <c r="E233" s="16" t="inlineStr">
        <is>
          <t>Delivered</t>
        </is>
      </c>
      <c r="F233" s="16" t="inlineStr">
        <is>
          <t>MB-184N</t>
        </is>
      </c>
      <c r="G233" s="16" t="inlineStr">
        <is>
          <t>Linkbits Portable Bluetooth Speaker - 800W Peak Power, 50W Full-Range Audio with Dual Bass System &amp; Deep Bass Membranes, Powerful &amp; Distortion-Free Sound, IP65 Waterproof Dustproof, TWS Support &amp; 6H Battery for Outdoor/Party</t>
        </is>
      </c>
      <c r="H233" s="16" t="inlineStr">
        <is>
          <t>NEGRO/MB-184</t>
        </is>
      </c>
      <c r="I233" s="16" t="n">
        <v>1</v>
      </c>
      <c r="J233" s="17" t="n">
        <v>630</v>
      </c>
      <c r="K233" s="17" t="n">
        <v>665.65</v>
      </c>
      <c r="L233" s="17" t="n">
        <v>0</v>
      </c>
      <c r="M233" s="17" t="n">
        <v>0</v>
      </c>
      <c r="N233" s="17">
        <f>K233*0.08+L233*0.08</f>
        <v/>
      </c>
      <c r="O233" s="17">
        <f>-(K233*0.025+L233*0.025)</f>
        <v/>
      </c>
      <c r="P233" s="17">
        <f>32</f>
        <v/>
      </c>
      <c r="Q233" s="17">
        <f>J233+L233+N233+O233-P233-M233</f>
        <v/>
      </c>
    </row>
    <row r="234">
      <c r="A234" s="16" t="inlineStr">
        <is>
          <t>5.15-5.21</t>
        </is>
      </c>
      <c r="B234" s="16" t="inlineStr">
        <is>
          <t>PO-128-01568308342392333</t>
        </is>
      </c>
      <c r="C234" s="16" t="inlineStr">
        <is>
          <t>Delivered</t>
        </is>
      </c>
      <c r="D234" s="16" t="inlineStr">
        <is>
          <t>128-01568266399352333</t>
        </is>
      </c>
      <c r="E234" s="16" t="inlineStr">
        <is>
          <t>Delivered</t>
        </is>
      </c>
      <c r="F234" s="16" t="inlineStr">
        <is>
          <t>SA320T-R</t>
        </is>
      </c>
      <c r="G234" s="16" t="inlineStr">
        <is>
          <t>Altavoz inalámbrico portátil con Luces RGB, Radio FM y Manija - 5h Duración, TWS, TF Card, Compacto y Recargable via USB，Perfecto para viajes, fiestas y gaming</t>
        </is>
      </c>
      <c r="H234" s="16" t="inlineStr">
        <is>
          <t>rojo</t>
        </is>
      </c>
      <c r="I234" s="16" t="n">
        <v>1</v>
      </c>
      <c r="J234" s="17" t="n">
        <v>65</v>
      </c>
      <c r="K234" s="17" t="n">
        <v>75.72</v>
      </c>
      <c r="L234" s="17" t="n">
        <v>25.86</v>
      </c>
      <c r="M234" s="17" t="n">
        <v>0</v>
      </c>
      <c r="N234" s="17">
        <f>K234*0.08+L234*0.08</f>
        <v/>
      </c>
      <c r="O234" s="17">
        <f>-(K234*0.025+L234*0.025)</f>
        <v/>
      </c>
      <c r="P234" s="17">
        <f>32</f>
        <v/>
      </c>
      <c r="Q234" s="17">
        <f>J234+L234+N234+O234-P234-M234</f>
        <v/>
      </c>
    </row>
    <row r="235">
      <c r="A235" s="16" t="inlineStr">
        <is>
          <t>5.15-5.21</t>
        </is>
      </c>
      <c r="B235" s="16" t="inlineStr">
        <is>
          <t>PO-128-01697948170872582</t>
        </is>
      </c>
      <c r="C235" s="16" t="inlineStr">
        <is>
          <t>Delivered</t>
        </is>
      </c>
      <c r="D235" s="16" t="inlineStr">
        <is>
          <t>128-01698016328312582</t>
        </is>
      </c>
      <c r="E235" s="16" t="inlineStr">
        <is>
          <t>Delivered</t>
        </is>
      </c>
      <c r="F235" s="16" t="inlineStr">
        <is>
          <t>A500-N</t>
        </is>
      </c>
      <c r="G235" s="16" t="inlineStr">
        <is>
          <t>Bocina Bluetooth Portátil Barra de Sonido, Inalámbrica con FM Radio, TWS, USB/TF, Graves Potentes para Hogar y Exteriores</t>
        </is>
      </c>
      <c r="H235" s="16" t="inlineStr">
        <is>
          <t>NEGRO</t>
        </is>
      </c>
      <c r="I235" s="16" t="n">
        <v>1</v>
      </c>
      <c r="J235" s="17" t="n">
        <v>77.23</v>
      </c>
      <c r="K235" s="17" t="n">
        <v>90.06999999999999</v>
      </c>
      <c r="L235" s="17" t="n">
        <v>25.86</v>
      </c>
      <c r="M235" s="17" t="n">
        <v>0</v>
      </c>
      <c r="N235" s="17">
        <f>K235*0.08+L235*0.08</f>
        <v/>
      </c>
      <c r="O235" s="17">
        <f>-(K235*0.025+L235*0.025)</f>
        <v/>
      </c>
      <c r="P235" s="17">
        <f>32</f>
        <v/>
      </c>
      <c r="Q235" s="17">
        <f>J235+L235+N235+O235-P235-M235</f>
        <v/>
      </c>
    </row>
    <row r="236">
      <c r="A236" s="16" t="inlineStr">
        <is>
          <t>5.15-5.21</t>
        </is>
      </c>
      <c r="B236" s="16" t="inlineStr">
        <is>
          <t>PO-128-01727031967351451</t>
        </is>
      </c>
      <c r="C236" s="16" t="inlineStr">
        <is>
          <t>Delivered</t>
        </is>
      </c>
      <c r="D236" s="16" t="inlineStr">
        <is>
          <t>128-01726990024311451</t>
        </is>
      </c>
      <c r="E236" s="16" t="inlineStr">
        <is>
          <t>Delivered</t>
        </is>
      </c>
      <c r="F236" s="16" t="inlineStr">
        <is>
          <t>MB-185R</t>
        </is>
      </c>
      <c r="G236" s="16" t="inlineStr">
        <is>
          <t>Bocina Radio FM/Reproductor, Compatible con Tarjeta TF, USB, Bluetooth, Aplicable para celular, computadora, Ipad y consola</t>
        </is>
      </c>
      <c r="H236" s="16" t="inlineStr">
        <is>
          <t>ROJO/MB-185</t>
        </is>
      </c>
      <c r="I236" s="16" t="n">
        <v>1</v>
      </c>
      <c r="J236" s="17" t="n">
        <v>75.5</v>
      </c>
      <c r="K236" s="17" t="n">
        <v>88.44</v>
      </c>
      <c r="L236" s="17" t="n">
        <v>25.86</v>
      </c>
      <c r="M236" s="17" t="n">
        <v>0</v>
      </c>
      <c r="N236" s="17">
        <f>K236*0.08+L236*0.08</f>
        <v/>
      </c>
      <c r="O236" s="17">
        <f>-(K236*0.025+L236*0.025)</f>
        <v/>
      </c>
      <c r="P236" s="17">
        <f>32</f>
        <v/>
      </c>
      <c r="Q236" s="17">
        <f>J236+L236+N236+O236-P236-M236</f>
        <v/>
      </c>
    </row>
    <row r="237">
      <c r="A237" s="16" t="inlineStr">
        <is>
          <t>5.15-5.21</t>
        </is>
      </c>
      <c r="B237" s="16" t="inlineStr">
        <is>
          <t>PO-128-01576948475512345</t>
        </is>
      </c>
      <c r="C237" s="16" t="inlineStr">
        <is>
          <t>Delivered</t>
        </is>
      </c>
      <c r="D237" s="16" t="inlineStr">
        <is>
          <t>128-01576917018232345</t>
        </is>
      </c>
      <c r="E237" s="16" t="inlineStr">
        <is>
          <t>Delivered</t>
        </is>
      </c>
      <c r="F237" s="16" t="inlineStr">
        <is>
          <t>A500-N</t>
        </is>
      </c>
      <c r="G237" s="16" t="inlineStr">
        <is>
          <t>Bocina Bluetooth Portátil Barra de Sonido, Inalámbrica con FM Radio, TWS, USB/TF, Graves Potentes para Hogar y Exteriores</t>
        </is>
      </c>
      <c r="H237" s="16" t="inlineStr">
        <is>
          <t>NEGRO</t>
        </is>
      </c>
      <c r="I237" s="16" t="n">
        <v>1</v>
      </c>
      <c r="J237" s="17" t="n">
        <v>81.95999999999999</v>
      </c>
      <c r="K237" s="17" t="n">
        <v>94.8</v>
      </c>
      <c r="L237" s="17" t="n">
        <v>25.86</v>
      </c>
      <c r="M237" s="17" t="n">
        <v>0</v>
      </c>
      <c r="N237" s="17">
        <f>K237*0.08+L237*0.08</f>
        <v/>
      </c>
      <c r="O237" s="17">
        <f>-(K237*0.025+L237*0.025)</f>
        <v/>
      </c>
      <c r="P237" s="17">
        <f>32</f>
        <v/>
      </c>
      <c r="Q237" s="17">
        <f>J237+L237+N237+O237-P237-M237</f>
        <v/>
      </c>
    </row>
    <row r="238">
      <c r="A238" s="16" t="inlineStr">
        <is>
          <t>5.15-5.21</t>
        </is>
      </c>
      <c r="B238" s="16" t="inlineStr">
        <is>
          <t>PO-128-15168195853433255</t>
        </is>
      </c>
      <c r="C238" s="16" t="inlineStr">
        <is>
          <t>Delivered</t>
        </is>
      </c>
      <c r="D238" s="16" t="inlineStr">
        <is>
          <t>128-15168153910393255</t>
        </is>
      </c>
      <c r="E238" s="16" t="inlineStr">
        <is>
          <t>Delivered</t>
        </is>
      </c>
      <c r="F238" s="16" t="inlineStr">
        <is>
          <t>A500-R</t>
        </is>
      </c>
      <c r="G238" s="16" t="inlineStr">
        <is>
          <t>Bocina Bluetooth Portátil Barra de Sonido, Inalámbrica con FM Radio, TWS, USB/TF, Graves Potentes para Hogar y Exteriores</t>
        </is>
      </c>
      <c r="H238" s="16" t="inlineStr">
        <is>
          <t>ROIO</t>
        </is>
      </c>
      <c r="I238" s="16" t="n">
        <v>1</v>
      </c>
      <c r="J238" s="17" t="n">
        <v>80</v>
      </c>
      <c r="K238" s="17" t="n">
        <v>76.90000000000001</v>
      </c>
      <c r="L238" s="17" t="n">
        <v>0</v>
      </c>
      <c r="M238" s="17" t="n">
        <v>4.63</v>
      </c>
      <c r="N238" s="17">
        <f>K238*0.08+L238*0.08</f>
        <v/>
      </c>
      <c r="O238" s="17">
        <f>-(K238*0.025+L238*0.025)</f>
        <v/>
      </c>
      <c r="P238" s="17">
        <f>32</f>
        <v/>
      </c>
      <c r="Q238" s="17">
        <f>J238+L238+N238+O238-P238-M238</f>
        <v/>
      </c>
    </row>
    <row r="239">
      <c r="A239" s="16" t="inlineStr">
        <is>
          <t>5.15-5.21</t>
        </is>
      </c>
      <c r="B239" s="16" t="inlineStr">
        <is>
          <t>PO-128-15168195853433255</t>
        </is>
      </c>
      <c r="C239" s="16" t="inlineStr">
        <is>
          <t>Delivered</t>
        </is>
      </c>
      <c r="D239" s="16" t="inlineStr">
        <is>
          <t>128-15168143424633255</t>
        </is>
      </c>
      <c r="E239" s="16" t="inlineStr">
        <is>
          <t>Delivered</t>
        </is>
      </c>
      <c r="F239" s="16" t="inlineStr">
        <is>
          <t>A500-N</t>
        </is>
      </c>
      <c r="G239" s="16" t="inlineStr">
        <is>
          <t>Bocina Bluetooth Portátil Barra de Sonido, Inalámbrica con FM Radio, TWS, USB/TF, Graves Potentes para Hogar y Exteriores</t>
        </is>
      </c>
      <c r="H239" s="16" t="inlineStr">
        <is>
          <t>NEGRO</t>
        </is>
      </c>
      <c r="I239" s="16" t="n">
        <v>1</v>
      </c>
      <c r="J239" s="17" t="n">
        <v>81.95999999999999</v>
      </c>
      <c r="K239" s="17" t="n">
        <v>80.58</v>
      </c>
      <c r="L239" s="17" t="n">
        <v>0</v>
      </c>
      <c r="M239" s="17" t="n">
        <v>8.31</v>
      </c>
      <c r="N239" s="17">
        <f>K239*0.08+L239*0.08</f>
        <v/>
      </c>
      <c r="O239" s="17">
        <f>-(K239*0.025+L239*0.025)</f>
        <v/>
      </c>
      <c r="P239" s="17">
        <f>32</f>
        <v/>
      </c>
      <c r="Q239" s="17">
        <f>J239+L239+N239+O239-P239-M239</f>
        <v/>
      </c>
    </row>
    <row r="240">
      <c r="A240" s="16" t="inlineStr">
        <is>
          <t>5.15-5.21</t>
        </is>
      </c>
      <c r="B240" s="16" t="inlineStr">
        <is>
          <t>PO-128-15168195853433255</t>
        </is>
      </c>
      <c r="C240" s="16" t="inlineStr">
        <is>
          <t>Delivered</t>
        </is>
      </c>
      <c r="D240" s="16" t="inlineStr">
        <is>
          <t>128-15168174881913255</t>
        </is>
      </c>
      <c r="E240" s="16" t="inlineStr">
        <is>
          <t>Delivered</t>
        </is>
      </c>
      <c r="F240" s="16" t="inlineStr">
        <is>
          <t>A500-A</t>
        </is>
      </c>
      <c r="G240" s="16" t="inlineStr">
        <is>
          <t>Bocina Bluetooth Portátil Barra de Sonido, Inalámbrica con FM Radio, TWS, USB/TF, Graves Potentes para Hogar y Exteriores</t>
        </is>
      </c>
      <c r="H240" s="16" t="inlineStr">
        <is>
          <t>AZUL</t>
        </is>
      </c>
      <c r="I240" s="16" t="n">
        <v>1</v>
      </c>
      <c r="J240" s="17" t="n">
        <v>78.88</v>
      </c>
      <c r="K240" s="17" t="n">
        <v>75.94</v>
      </c>
      <c r="L240" s="17" t="n">
        <v>0</v>
      </c>
      <c r="M240" s="17" t="n">
        <v>9.19</v>
      </c>
      <c r="N240" s="17">
        <f>K240*0.08+L240*0.08</f>
        <v/>
      </c>
      <c r="O240" s="17">
        <f>-(K240*0.025+L240*0.025)</f>
        <v/>
      </c>
      <c r="P240" s="17">
        <f>32</f>
        <v/>
      </c>
      <c r="Q240" s="17">
        <f>J240+L240+N240+O240-P240-M240</f>
        <v/>
      </c>
    </row>
    <row r="241">
      <c r="A241" s="16" t="inlineStr">
        <is>
          <t>5.22-5.28</t>
        </is>
      </c>
      <c r="B241" s="16" t="inlineStr">
        <is>
          <t>PO-128-10995062789750609</t>
        </is>
      </c>
      <c r="C241" s="16" t="inlineStr">
        <is>
          <t>Shipped</t>
        </is>
      </c>
      <c r="D241" s="16" t="inlineStr">
        <is>
          <t>128-10995083761270609</t>
        </is>
      </c>
      <c r="E241" s="16" t="inlineStr">
        <is>
          <t>Shipped</t>
        </is>
      </c>
      <c r="F241" s="16" t="inlineStr">
        <is>
          <t>A500-A</t>
        </is>
      </c>
      <c r="G241" s="16" t="inlineStr">
        <is>
          <t>Bocina Bluetooth Portátil Barra de Sonido, Inalámbrica con FM Radio, TWS, USB/TF, Graves Potentes para Hogar y Exteriores</t>
        </is>
      </c>
      <c r="H241" s="16" t="inlineStr">
        <is>
          <t>AZUL</t>
        </is>
      </c>
      <c r="I241" s="16" t="n">
        <v>1</v>
      </c>
      <c r="J241" s="17" t="n">
        <v>74.81</v>
      </c>
      <c r="K241" s="17" t="n">
        <v>2</v>
      </c>
      <c r="L241" s="17" t="n">
        <v>25.86</v>
      </c>
      <c r="M241" s="17" t="n">
        <v>0</v>
      </c>
      <c r="N241" s="17">
        <f>K241*0.08+L241*0.08</f>
        <v/>
      </c>
      <c r="O241" s="17">
        <f>-(K241*0.025+L241*0.025)</f>
        <v/>
      </c>
      <c r="P241" s="17">
        <f>32</f>
        <v/>
      </c>
      <c r="Q241" s="17">
        <f>J241+L241+N241+O241-P241-M241</f>
        <v/>
      </c>
    </row>
    <row r="242">
      <c r="A242" s="16" t="inlineStr">
        <is>
          <t>5.22-5.28</t>
        </is>
      </c>
      <c r="B242" s="16" t="inlineStr">
        <is>
          <t>PO-128-10975331251830532</t>
        </is>
      </c>
      <c r="C242" s="16" t="inlineStr">
        <is>
          <t>Shipped</t>
        </is>
      </c>
      <c r="D242" s="16" t="inlineStr">
        <is>
          <t>128-10975383680630532</t>
        </is>
      </c>
      <c r="E242" s="16" t="inlineStr">
        <is>
          <t>Shipped</t>
        </is>
      </c>
      <c r="F242" s="16" t="inlineStr">
        <is>
          <t>SA320T-N</t>
        </is>
      </c>
      <c r="G242" s="16" t="inlineStr">
        <is>
          <t>Altavoz inalámbrico portátil con Luces RGB, Radio FM y Manija - 5h Duración, TWS, TF Card, Compacto y Recargable via USB，Perfecto para viajes, fiestas y gaming</t>
        </is>
      </c>
      <c r="H242" s="16" t="inlineStr">
        <is>
          <t>negro</t>
        </is>
      </c>
      <c r="I242" s="16" t="n">
        <v>4</v>
      </c>
      <c r="J242" s="17" t="n">
        <v>252</v>
      </c>
      <c r="K242" s="17" t="n">
        <v>276.46</v>
      </c>
      <c r="L242" s="17" t="n">
        <v>0</v>
      </c>
      <c r="M242" s="17" t="n">
        <v>0</v>
      </c>
      <c r="N242" s="17">
        <f>K242*0.08+L242*0.08</f>
        <v/>
      </c>
      <c r="O242" s="17">
        <f>-(K242*0.025+L242*0.025)</f>
        <v/>
      </c>
      <c r="P242" s="17">
        <f>32</f>
        <v/>
      </c>
      <c r="Q242" s="17">
        <f>J242+L242+N242+O242-P242-M242</f>
        <v/>
      </c>
    </row>
    <row r="243">
      <c r="A243" s="16" t="inlineStr">
        <is>
          <t>5.22-5.28</t>
        </is>
      </c>
      <c r="B243" s="16" t="inlineStr">
        <is>
          <t>PO-128-10786275963511725</t>
        </is>
      </c>
      <c r="C243" s="16" t="inlineStr">
        <is>
          <t>Shipped</t>
        </is>
      </c>
      <c r="D243" s="16" t="inlineStr">
        <is>
          <t>128-10786380821111725</t>
        </is>
      </c>
      <c r="E243" s="16" t="inlineStr">
        <is>
          <t>Shipped</t>
        </is>
      </c>
      <c r="F243" s="16" t="inlineStr">
        <is>
          <t>A500-N</t>
        </is>
      </c>
      <c r="G243" s="16" t="inlineStr">
        <is>
          <t>Bocina Bluetooth Portátil Barra de Sonido, Inalámbrica con FM Radio, TWS, USB/TF, Graves Potentes para Hogar y Exteriores</t>
        </is>
      </c>
      <c r="H243" s="16" t="inlineStr">
        <is>
          <t>NEGRO</t>
        </is>
      </c>
      <c r="I243" s="16" t="n">
        <v>1</v>
      </c>
      <c r="J243" s="17" t="n">
        <v>79.81999999999999</v>
      </c>
      <c r="K243" s="17" t="n">
        <v>90.40000000000001</v>
      </c>
      <c r="L243" s="17" t="n">
        <v>25.86</v>
      </c>
      <c r="M243" s="17" t="n">
        <v>0</v>
      </c>
      <c r="N243" s="17">
        <f>K243*0.08+L243*0.08</f>
        <v/>
      </c>
      <c r="O243" s="17">
        <f>-(K243*0.025+L243*0.025)</f>
        <v/>
      </c>
      <c r="P243" s="17">
        <f>32</f>
        <v/>
      </c>
      <c r="Q243" s="17">
        <f>J243+L243+N243+O243-P243-M243</f>
        <v/>
      </c>
    </row>
    <row r="244">
      <c r="A244" s="16" t="inlineStr">
        <is>
          <t>5.22-5.28</t>
        </is>
      </c>
      <c r="B244" s="16" t="inlineStr">
        <is>
          <t>PO-128-10558265948792122</t>
        </is>
      </c>
      <c r="C244" s="16" t="inlineStr">
        <is>
          <t>Shipped</t>
        </is>
      </c>
      <c r="D244" s="16" t="inlineStr">
        <is>
          <t>128-10558370806392122</t>
        </is>
      </c>
      <c r="E244" s="16" t="inlineStr">
        <is>
          <t>Shipped</t>
        </is>
      </c>
      <c r="F244" s="16" t="inlineStr">
        <is>
          <t>A500-N</t>
        </is>
      </c>
      <c r="G244" s="16" t="inlineStr">
        <is>
          <t>Bocina Bluetooth Portátil Barra de Sonido, Inalámbrica con FM Radio, TWS, USB/TF, Graves Potentes para Hogar y Exteriores</t>
        </is>
      </c>
      <c r="H244" s="16" t="inlineStr">
        <is>
          <t>NEGRO</t>
        </is>
      </c>
      <c r="I244" s="16" t="n">
        <v>1</v>
      </c>
      <c r="J244" s="17" t="n">
        <v>79.81999999999999</v>
      </c>
      <c r="K244" s="17" t="n">
        <v>90.40000000000001</v>
      </c>
      <c r="L244" s="17" t="n">
        <v>25.86</v>
      </c>
      <c r="M244" s="17" t="n">
        <v>0</v>
      </c>
      <c r="N244" s="17">
        <f>K244*0.08+L244*0.08</f>
        <v/>
      </c>
      <c r="O244" s="17">
        <f>-(K244*0.025+L244*0.025)</f>
        <v/>
      </c>
      <c r="P244" s="17">
        <f>32</f>
        <v/>
      </c>
      <c r="Q244" s="17">
        <f>J244+L244+N244+O244-P244-M244</f>
        <v/>
      </c>
    </row>
    <row r="245">
      <c r="A245" s="16" t="inlineStr">
        <is>
          <t>5.22-5.28</t>
        </is>
      </c>
      <c r="B245" s="16" t="inlineStr">
        <is>
          <t>PO-128-10851699241590311</t>
        </is>
      </c>
      <c r="C245" s="16" t="inlineStr">
        <is>
          <t>Shipped</t>
        </is>
      </c>
      <c r="D245" s="16" t="inlineStr">
        <is>
          <t>128-10851720213110311</t>
        </is>
      </c>
      <c r="E245" s="16" t="inlineStr">
        <is>
          <t>Shipped</t>
        </is>
      </c>
      <c r="F245" s="16" t="inlineStr">
        <is>
          <t>A500-A</t>
        </is>
      </c>
      <c r="G245" s="16" t="inlineStr">
        <is>
          <t>Bocina Bluetooth Portátil Barra de Sonido, Inalámbrica con FM Radio, TWS, USB/TF, Graves Potentes para Hogar y Exteriores</t>
        </is>
      </c>
      <c r="H245" s="16" t="inlineStr">
        <is>
          <t>AZUL</t>
        </is>
      </c>
      <c r="I245" s="16" t="n">
        <v>1</v>
      </c>
      <c r="J245" s="17" t="n">
        <v>74.81</v>
      </c>
      <c r="K245" s="17" t="n">
        <v>84.76000000000001</v>
      </c>
      <c r="L245" s="17" t="n">
        <v>25.86</v>
      </c>
      <c r="M245" s="17" t="n">
        <v>0</v>
      </c>
      <c r="N245" s="17">
        <f>K245*0.08+L245*0.08</f>
        <v/>
      </c>
      <c r="O245" s="17">
        <f>-(K245*0.025+L245*0.025)</f>
        <v/>
      </c>
      <c r="P245" s="17">
        <f>32</f>
        <v/>
      </c>
      <c r="Q245" s="17">
        <f>J245+L245+N245+O245-P245-M245</f>
        <v/>
      </c>
    </row>
    <row r="246">
      <c r="A246" s="16" t="inlineStr">
        <is>
          <t>5.22-5.28</t>
        </is>
      </c>
      <c r="B246" s="16" t="inlineStr">
        <is>
          <t>PO-128-10708461455991229</t>
        </is>
      </c>
      <c r="C246" s="16" t="inlineStr">
        <is>
          <t>Shipped</t>
        </is>
      </c>
      <c r="D246" s="16" t="inlineStr">
        <is>
          <t>128-10708440484471229</t>
        </is>
      </c>
      <c r="E246" s="16" t="inlineStr">
        <is>
          <t>Shipped</t>
        </is>
      </c>
      <c r="F246" s="16" t="inlineStr">
        <is>
          <t>A500-N</t>
        </is>
      </c>
      <c r="G246" s="16" t="inlineStr">
        <is>
          <t>Bocina Bluetooth Portátil Barra de Sonido, Inalámbrica con FM Radio, TWS, USB/TF, Graves Potentes para Hogar y Exteriores</t>
        </is>
      </c>
      <c r="H246" s="16" t="inlineStr">
        <is>
          <t>NEGRO</t>
        </is>
      </c>
      <c r="I246" s="16" t="n">
        <v>1</v>
      </c>
      <c r="J246" s="17" t="n">
        <v>79.81999999999999</v>
      </c>
      <c r="K246" s="17" t="n">
        <v>90.40000000000001</v>
      </c>
      <c r="L246" s="17" t="n">
        <v>25.86</v>
      </c>
      <c r="M246" s="17" t="n">
        <v>0</v>
      </c>
      <c r="N246" s="17">
        <f>K246*0.08+L246*0.08</f>
        <v/>
      </c>
      <c r="O246" s="17">
        <f>-(K246*0.025+L246*0.025)</f>
        <v/>
      </c>
      <c r="P246" s="17">
        <f>32</f>
        <v/>
      </c>
      <c r="Q246" s="17">
        <f>J246+L246+N246+O246-P246-M246</f>
        <v/>
      </c>
    </row>
    <row r="247">
      <c r="A247" s="16" t="inlineStr">
        <is>
          <t>5.22-5.28</t>
        </is>
      </c>
      <c r="B247" s="16" t="inlineStr">
        <is>
          <t>PO-128-16481003889270548</t>
        </is>
      </c>
      <c r="C247" s="16" t="inlineStr">
        <is>
          <t>Shipped</t>
        </is>
      </c>
      <c r="D247" s="16" t="inlineStr">
        <is>
          <t>128-16480982917750548</t>
        </is>
      </c>
      <c r="E247" s="16" t="inlineStr">
        <is>
          <t>Shipped</t>
        </is>
      </c>
      <c r="F247" s="16" t="inlineStr">
        <is>
          <t>A500-N</t>
        </is>
      </c>
      <c r="G247" s="16" t="inlineStr">
        <is>
          <t>Bocina Bluetooth Portátil Barra de Sonido, Inalámbrica con FM Radio, TWS, USB/TF, Graves Potentes para Hogar y Exteriores</t>
        </is>
      </c>
      <c r="H247" s="16" t="inlineStr">
        <is>
          <t>NEGRO</t>
        </is>
      </c>
      <c r="I247" s="16" t="n">
        <v>1</v>
      </c>
      <c r="J247" s="17" t="n">
        <v>79.81999999999999</v>
      </c>
      <c r="K247" s="17" t="n">
        <v>72.38</v>
      </c>
      <c r="L247" s="17" t="n">
        <v>25.86</v>
      </c>
      <c r="M247" s="17" t="n">
        <v>0</v>
      </c>
      <c r="N247" s="17">
        <f>K247*0.08+L247*0.08</f>
        <v/>
      </c>
      <c r="O247" s="17">
        <f>-(K247*0.025+L247*0.025)</f>
        <v/>
      </c>
      <c r="P247" s="17">
        <f>32</f>
        <v/>
      </c>
      <c r="Q247" s="17">
        <f>J247+L247+N247+O247-P247-M247</f>
        <v/>
      </c>
    </row>
    <row r="248">
      <c r="A248" s="16" t="inlineStr">
        <is>
          <t>5.22-5.28</t>
        </is>
      </c>
      <c r="B248" s="16" t="inlineStr">
        <is>
          <t>PO-128-16177470741111335</t>
        </is>
      </c>
      <c r="C248" s="16" t="inlineStr">
        <is>
          <t>Shipped</t>
        </is>
      </c>
      <c r="D248" s="16" t="inlineStr">
        <is>
          <t>128-16177491712631335</t>
        </is>
      </c>
      <c r="E248" s="16" t="inlineStr">
        <is>
          <t>Shipped</t>
        </is>
      </c>
      <c r="F248" s="16" t="inlineStr">
        <is>
          <t>A500-N</t>
        </is>
      </c>
      <c r="G248" s="16" t="inlineStr">
        <is>
          <t>Bocina Bluetooth Portátil Barra de Sonido, Inalámbrica con FM Radio, TWS, USB/TF, Graves Potentes para Hogar y Exteriores</t>
        </is>
      </c>
      <c r="H248" s="16" t="inlineStr">
        <is>
          <t>NEGRO</t>
        </is>
      </c>
      <c r="I248" s="16" t="n">
        <v>1</v>
      </c>
      <c r="J248" s="17" t="n">
        <v>79.81999999999999</v>
      </c>
      <c r="K248" s="17" t="n">
        <v>90.40000000000001</v>
      </c>
      <c r="L248" s="17" t="n">
        <v>25.86</v>
      </c>
      <c r="M248" s="17" t="n">
        <v>0</v>
      </c>
      <c r="N248" s="17">
        <f>K248*0.08+L248*0.08</f>
        <v/>
      </c>
      <c r="O248" s="17">
        <f>-(K248*0.025+L248*0.025)</f>
        <v/>
      </c>
      <c r="P248" s="17">
        <f>32</f>
        <v/>
      </c>
      <c r="Q248" s="17">
        <f>J248+L248+N248+O248-P248-M248</f>
        <v/>
      </c>
    </row>
    <row r="249">
      <c r="A249" s="16" t="inlineStr">
        <is>
          <t>5.22-5.28</t>
        </is>
      </c>
      <c r="B249" s="16" t="inlineStr">
        <is>
          <t>PO-128-15823364362873572</t>
        </is>
      </c>
      <c r="C249" s="16" t="inlineStr">
        <is>
          <t>Shipped</t>
        </is>
      </c>
      <c r="D249" s="16" t="inlineStr">
        <is>
          <t>128-15823416791673572</t>
        </is>
      </c>
      <c r="E249" s="16" t="inlineStr">
        <is>
          <t>Shipped</t>
        </is>
      </c>
      <c r="F249" s="16" t="inlineStr">
        <is>
          <t>MB-185A</t>
        </is>
      </c>
      <c r="G249" s="16" t="inlineStr">
        <is>
          <t>Bocina Radio FM/Reproductor, Compatible con Tarjeta TF, USB, Bluetooth, Aplicable para celular, computadora, Ipad y consola</t>
        </is>
      </c>
      <c r="H249" s="16" t="inlineStr">
        <is>
          <t>AZUL/MB-185</t>
        </is>
      </c>
      <c r="I249" s="16" t="n">
        <v>1</v>
      </c>
      <c r="J249" s="17" t="n">
        <v>77.5</v>
      </c>
      <c r="K249" s="17" t="n">
        <v>90.44</v>
      </c>
      <c r="L249" s="17" t="n">
        <v>25.86</v>
      </c>
      <c r="M249" s="17" t="n">
        <v>0</v>
      </c>
      <c r="N249" s="17">
        <f>K249*0.08+L249*0.08</f>
        <v/>
      </c>
      <c r="O249" s="17">
        <f>-(K249*0.025+L249*0.025)</f>
        <v/>
      </c>
      <c r="P249" s="17">
        <f>32</f>
        <v/>
      </c>
      <c r="Q249" s="17">
        <f>J249+L249+N249+O249-P249-M249</f>
        <v/>
      </c>
    </row>
    <row r="250">
      <c r="A250" s="16" t="inlineStr">
        <is>
          <t>5.22-5.28</t>
        </is>
      </c>
      <c r="B250" s="16" t="inlineStr">
        <is>
          <t>PO-128-16202749020791185</t>
        </is>
      </c>
      <c r="C250" s="16" t="inlineStr">
        <is>
          <t>Shipped</t>
        </is>
      </c>
      <c r="D250" s="16" t="inlineStr">
        <is>
          <t>128-16202707077751185</t>
        </is>
      </c>
      <c r="E250" s="16" t="inlineStr">
        <is>
          <t>Shipped</t>
        </is>
      </c>
      <c r="F250" s="16" t="inlineStr">
        <is>
          <t>A500-R</t>
        </is>
      </c>
      <c r="G250" s="16" t="inlineStr">
        <is>
          <t>Bocina Bluetooth Portátil Barra de Sonido, Inalámbrica con FM Radio, TWS, USB/TF, Graves Potentes para Hogar y Exteriores</t>
        </is>
      </c>
      <c r="H250" s="16" t="inlineStr">
        <is>
          <t>ROIO</t>
        </is>
      </c>
      <c r="I250" s="16" t="n">
        <v>1</v>
      </c>
      <c r="J250" s="17" t="n">
        <v>79.81999999999999</v>
      </c>
      <c r="K250" s="17" t="n">
        <v>7.53</v>
      </c>
      <c r="L250" s="17" t="n">
        <v>25.86</v>
      </c>
      <c r="M250" s="17" t="n">
        <v>0</v>
      </c>
      <c r="N250" s="17">
        <f>K250*0.08+L250*0.08</f>
        <v/>
      </c>
      <c r="O250" s="17">
        <f>-(K250*0.025+L250*0.025)</f>
        <v/>
      </c>
      <c r="P250" s="17">
        <f>32</f>
        <v/>
      </c>
      <c r="Q250" s="17">
        <f>J250+L250+N250+O250-P250-M250</f>
        <v/>
      </c>
    </row>
    <row r="251">
      <c r="A251" s="16" t="inlineStr">
        <is>
          <t>5.22-5.28</t>
        </is>
      </c>
      <c r="B251" s="16" t="inlineStr">
        <is>
          <t>PO-128-16202731648631185</t>
        </is>
      </c>
      <c r="C251" s="16" t="inlineStr">
        <is>
          <t>Shipped</t>
        </is>
      </c>
      <c r="D251" s="16" t="inlineStr">
        <is>
          <t>128-16202689705591185</t>
        </is>
      </c>
      <c r="E251" s="16" t="inlineStr">
        <is>
          <t>Shipped</t>
        </is>
      </c>
      <c r="F251" s="16" t="inlineStr">
        <is>
          <t>A500-N</t>
        </is>
      </c>
      <c r="G251" s="16" t="inlineStr">
        <is>
          <t>Bocina Bluetooth Portátil Barra de Sonido, Inalámbrica con FM Radio, TWS, USB/TF, Graves Potentes para Hogar y Exteriores</t>
        </is>
      </c>
      <c r="H251" s="16" t="inlineStr">
        <is>
          <t>NEGRO</t>
        </is>
      </c>
      <c r="I251" s="16" t="n">
        <v>1</v>
      </c>
      <c r="J251" s="17" t="n">
        <v>79.81999999999999</v>
      </c>
      <c r="K251" s="17" t="n">
        <v>7.64</v>
      </c>
      <c r="L251" s="17" t="n">
        <v>25.86</v>
      </c>
      <c r="M251" s="17" t="n">
        <v>0</v>
      </c>
      <c r="N251" s="17">
        <f>K251*0.08+L251*0.08</f>
        <v/>
      </c>
      <c r="O251" s="17">
        <f>-(K251*0.025+L251*0.025)</f>
        <v/>
      </c>
      <c r="P251" s="17">
        <f>32</f>
        <v/>
      </c>
      <c r="Q251" s="17">
        <f>J251+L251+N251+O251-P251-M251</f>
        <v/>
      </c>
    </row>
    <row r="252">
      <c r="A252" s="16" t="inlineStr">
        <is>
          <t>5.22-5.28</t>
        </is>
      </c>
      <c r="B252" s="16" t="inlineStr">
        <is>
          <t>PO-128-16406434202230099</t>
        </is>
      </c>
      <c r="C252" s="16" t="inlineStr">
        <is>
          <t>Shipped</t>
        </is>
      </c>
      <c r="D252" s="16" t="inlineStr">
        <is>
          <t>128-16406436823670099</t>
        </is>
      </c>
      <c r="E252" s="16" t="inlineStr">
        <is>
          <t>Shipped</t>
        </is>
      </c>
      <c r="F252" s="16" t="inlineStr">
        <is>
          <t>SA315TA</t>
        </is>
      </c>
      <c r="G252" s="16" t="inlineStr">
        <is>
          <t>Altavoz inalámbrico portátil con Luces RGB, Radio FM y Manija - 5h Duración, TWS, TF Card, Compacto y Recargable via USB，Perfecto para viajes, fiestas y gaming</t>
        </is>
      </c>
      <c r="H252" s="16" t="inlineStr">
        <is>
          <t>AZUL-LK</t>
        </is>
      </c>
      <c r="I252" s="16" t="n">
        <v>1</v>
      </c>
      <c r="J252" s="17" t="n">
        <v>49</v>
      </c>
      <c r="K252" s="17" t="n">
        <v>57.5</v>
      </c>
      <c r="L252" s="17" t="n">
        <v>25.86</v>
      </c>
      <c r="M252" s="17" t="n">
        <v>0</v>
      </c>
      <c r="N252" s="17">
        <f>K252*0.08+L252*0.08</f>
        <v/>
      </c>
      <c r="O252" s="17">
        <f>-(K252*0.025+L252*0.025)</f>
        <v/>
      </c>
      <c r="P252" s="17">
        <f>32</f>
        <v/>
      </c>
      <c r="Q252" s="17">
        <f>J252+L252+N252+O252-P252-M252</f>
        <v/>
      </c>
    </row>
    <row r="253">
      <c r="A253" s="16" t="inlineStr">
        <is>
          <t>5.22-5.28</t>
        </is>
      </c>
      <c r="B253" s="16" t="inlineStr">
        <is>
          <t>PO-128-16311566930551622</t>
        </is>
      </c>
      <c r="C253" s="16" t="inlineStr">
        <is>
          <t>Shipped</t>
        </is>
      </c>
      <c r="D253" s="16" t="inlineStr">
        <is>
          <t>128-16311646884471622</t>
        </is>
      </c>
      <c r="E253" s="16" t="inlineStr">
        <is>
          <t>Shipped</t>
        </is>
      </c>
      <c r="F253" s="16" t="inlineStr">
        <is>
          <t>A500-N</t>
        </is>
      </c>
      <c r="G253" s="16" t="inlineStr">
        <is>
          <t>Bocina Bluetooth Portátil Barra de Sonido, Inalámbrica con FM Radio, TWS, USB/TF, Graves Potentes para Hogar y Exteriores</t>
        </is>
      </c>
      <c r="H253" s="16" t="inlineStr">
        <is>
          <t>NEGRO</t>
        </is>
      </c>
      <c r="I253" s="16" t="n">
        <v>1</v>
      </c>
      <c r="J253" s="17" t="n">
        <v>79.81999999999999</v>
      </c>
      <c r="K253" s="17" t="n">
        <v>90.40000000000001</v>
      </c>
      <c r="L253" s="17" t="n">
        <v>25.86</v>
      </c>
      <c r="M253" s="17" t="n">
        <v>0</v>
      </c>
      <c r="N253" s="17">
        <f>K253*0.08+L253*0.08</f>
        <v/>
      </c>
      <c r="O253" s="17">
        <f>-(K253*0.025+L253*0.025)</f>
        <v/>
      </c>
      <c r="P253" s="17">
        <f>32</f>
        <v/>
      </c>
      <c r="Q253" s="17">
        <f>J253+L253+N253+O253-P253-M253</f>
        <v/>
      </c>
    </row>
    <row r="254">
      <c r="A254" s="16" t="inlineStr">
        <is>
          <t>5.22-5.28</t>
        </is>
      </c>
      <c r="B254" s="16" t="inlineStr">
        <is>
          <t>PO-128-16314253292151606</t>
        </is>
      </c>
      <c r="C254" s="16" t="inlineStr">
        <is>
          <t>Shipped</t>
        </is>
      </c>
      <c r="D254" s="16" t="inlineStr">
        <is>
          <t>128-16314203484791606</t>
        </is>
      </c>
      <c r="E254" s="16" t="inlineStr">
        <is>
          <t>Shipped</t>
        </is>
      </c>
      <c r="F254" s="16" t="inlineStr">
        <is>
          <t>MB-183N</t>
        </is>
      </c>
      <c r="G254" s="16" t="inlineStr">
        <is>
          <t>Linkbits Altavoz Bluetooth Portátil con Stereo Inalámbrico TWS Impermeable y a Prueba de Polvo IP65 Altavoz de Graves de Rango Completo de 52mm con Doble Unidad Ligero de 215g para Camping Senderismo y Fiestas al Aire Libre</t>
        </is>
      </c>
      <c r="H254" s="16" t="inlineStr">
        <is>
          <t>NEGRO/MB-183</t>
        </is>
      </c>
      <c r="I254" s="16" t="n">
        <v>1</v>
      </c>
      <c r="J254" s="17" t="n">
        <v>95</v>
      </c>
      <c r="K254" s="17" t="n">
        <v>112.38</v>
      </c>
      <c r="L254" s="17" t="n">
        <v>25.86</v>
      </c>
      <c r="M254" s="17" t="n">
        <v>0</v>
      </c>
      <c r="N254" s="17">
        <f>K254*0.08+L254*0.08</f>
        <v/>
      </c>
      <c r="O254" s="17">
        <f>-(K254*0.025+L254*0.025)</f>
        <v/>
      </c>
      <c r="P254" s="17">
        <f>32</f>
        <v/>
      </c>
      <c r="Q254" s="17">
        <f>J254+L254+N254+O254-P254-M254</f>
        <v/>
      </c>
    </row>
    <row r="255">
      <c r="A255" s="16" t="inlineStr">
        <is>
          <t>5.22-5.28</t>
        </is>
      </c>
      <c r="B255" s="16" t="inlineStr">
        <is>
          <t>PO-128-16285723382391712</t>
        </is>
      </c>
      <c r="C255" s="16" t="inlineStr">
        <is>
          <t>Shipped</t>
        </is>
      </c>
      <c r="D255" s="16" t="inlineStr">
        <is>
          <t>128-16285765325431712</t>
        </is>
      </c>
      <c r="E255" s="16" t="inlineStr">
        <is>
          <t>Shipped</t>
        </is>
      </c>
      <c r="F255" s="16" t="inlineStr">
        <is>
          <t>A500-R</t>
        </is>
      </c>
      <c r="G255" s="16" t="inlineStr">
        <is>
          <t>Bocina Bluetooth Portátil Barra de Sonido, Inalámbrica con FM Radio, TWS, USB/TF, Graves Potentes para Hogar y Exteriores</t>
        </is>
      </c>
      <c r="H255" s="16" t="inlineStr">
        <is>
          <t>ROIO</t>
        </is>
      </c>
      <c r="I255" s="16" t="n">
        <v>1</v>
      </c>
      <c r="J255" s="17" t="n">
        <v>79.81999999999999</v>
      </c>
      <c r="K255" s="17" t="n">
        <v>72.23999999999999</v>
      </c>
      <c r="L255" s="17" t="n">
        <v>25.86</v>
      </c>
      <c r="M255" s="17" t="n">
        <v>0</v>
      </c>
      <c r="N255" s="17">
        <f>K255*0.08+L255*0.08</f>
        <v/>
      </c>
      <c r="O255" s="17">
        <f>-(K255*0.025+L255*0.025)</f>
        <v/>
      </c>
      <c r="P255" s="17">
        <f>32</f>
        <v/>
      </c>
      <c r="Q255" s="17">
        <f>J255+L255+N255+O255-P255-M255</f>
        <v/>
      </c>
    </row>
    <row r="256">
      <c r="A256" s="16" t="inlineStr">
        <is>
          <t>5.22-5.28</t>
        </is>
      </c>
      <c r="B256" s="16" t="inlineStr">
        <is>
          <t>PO-128-15934303975033937</t>
        </is>
      </c>
      <c r="C256" s="16" t="inlineStr">
        <is>
          <t>Shipped</t>
        </is>
      </c>
      <c r="D256" s="16" t="inlineStr">
        <is>
          <t>128-15934314460793937</t>
        </is>
      </c>
      <c r="E256" s="16" t="inlineStr">
        <is>
          <t>Shipped</t>
        </is>
      </c>
      <c r="F256" s="16" t="inlineStr">
        <is>
          <t>SA320T-R</t>
        </is>
      </c>
      <c r="G256" s="16" t="inlineStr">
        <is>
          <t>Altavoz inalámbrico portátil con Luces RGB, Radio FM y Manija - 5h Duración, TWS, TF Card, Compacto y Recargable via USB，Perfecto para viajes, fiestas y gaming</t>
        </is>
      </c>
      <c r="H256" s="16" t="inlineStr">
        <is>
          <t>rojo</t>
        </is>
      </c>
      <c r="I256" s="16" t="n">
        <v>1</v>
      </c>
      <c r="J256" s="17" t="n">
        <v>63</v>
      </c>
      <c r="K256" s="17" t="n">
        <v>73.72</v>
      </c>
      <c r="L256" s="17" t="n">
        <v>25.86</v>
      </c>
      <c r="M256" s="17" t="n">
        <v>0</v>
      </c>
      <c r="N256" s="17">
        <f>K256*0.08+L256*0.08</f>
        <v/>
      </c>
      <c r="O256" s="17">
        <f>-(K256*0.025+L256*0.025)</f>
        <v/>
      </c>
      <c r="P256" s="17">
        <f>32</f>
        <v/>
      </c>
      <c r="Q256" s="17">
        <f>J256+L256+N256+O256-P256-M256</f>
        <v/>
      </c>
    </row>
    <row r="257">
      <c r="A257" s="16" t="inlineStr">
        <is>
          <t>5.22-5.28</t>
        </is>
      </c>
      <c r="B257" s="16" t="inlineStr">
        <is>
          <t>PO-128-15928249370233909</t>
        </is>
      </c>
      <c r="C257" s="16" t="inlineStr">
        <is>
          <t>Shipped</t>
        </is>
      </c>
      <c r="D257" s="16" t="inlineStr">
        <is>
          <t>128-15928207427193909</t>
        </is>
      </c>
      <c r="E257" s="16" t="inlineStr">
        <is>
          <t>Shipped</t>
        </is>
      </c>
      <c r="F257" s="16" t="inlineStr">
        <is>
          <t>SA315TA</t>
        </is>
      </c>
      <c r="G257" s="16" t="inlineStr">
        <is>
          <t>Altavoz inalámbrico portátil con Luces RGB, Radio FM y Manija - 5h Duración, TWS, TF Card, Compacto y Recargable via USB，Perfecto para viajes, fiestas y gaming</t>
        </is>
      </c>
      <c r="H257" s="16" t="inlineStr">
        <is>
          <t>AZUL-LK</t>
        </is>
      </c>
      <c r="I257" s="16" t="n">
        <v>1</v>
      </c>
      <c r="J257" s="17" t="n">
        <v>49</v>
      </c>
      <c r="K257" s="17" t="n">
        <v>5.78</v>
      </c>
      <c r="L257" s="17" t="n">
        <v>25.86</v>
      </c>
      <c r="M257" s="17" t="n">
        <v>0</v>
      </c>
      <c r="N257" s="17">
        <f>K257*0.08+L257*0.08</f>
        <v/>
      </c>
      <c r="O257" s="17">
        <f>-(K257*0.025+L257*0.025)</f>
        <v/>
      </c>
      <c r="P257" s="17">
        <f>32</f>
        <v/>
      </c>
      <c r="Q257" s="17">
        <f>J257+L257+N257+O257-P257-M257</f>
        <v/>
      </c>
    </row>
    <row r="258">
      <c r="A258" s="16" t="inlineStr">
        <is>
          <t>5.22-5.28</t>
        </is>
      </c>
      <c r="B258" s="16" t="inlineStr">
        <is>
          <t>PO-128-16166256850551528</t>
        </is>
      </c>
      <c r="C258" s="16" t="inlineStr">
        <is>
          <t>Shipped</t>
        </is>
      </c>
      <c r="D258" s="16" t="inlineStr">
        <is>
          <t>128-16166277822071528</t>
        </is>
      </c>
      <c r="E258" s="16" t="inlineStr">
        <is>
          <t>Shipped</t>
        </is>
      </c>
      <c r="F258" s="16" t="inlineStr">
        <is>
          <t>A500-R</t>
        </is>
      </c>
      <c r="G258" s="16" t="inlineStr">
        <is>
          <t>Bocina Bluetooth Portátil Barra de Sonido, Inalámbrica con FM Radio, TWS, USB/TF, Graves Potentes para Hogar y Exteriores</t>
        </is>
      </c>
      <c r="H258" s="16" t="inlineStr">
        <is>
          <t>ROIO</t>
        </is>
      </c>
      <c r="I258" s="16" t="n">
        <v>1</v>
      </c>
      <c r="J258" s="17" t="n">
        <v>79.81999999999999</v>
      </c>
      <c r="K258" s="17" t="n">
        <v>90.29000000000001</v>
      </c>
      <c r="L258" s="17" t="n">
        <v>25.86</v>
      </c>
      <c r="M258" s="17" t="n">
        <v>0</v>
      </c>
      <c r="N258" s="17">
        <f>K258*0.08+L258*0.08</f>
        <v/>
      </c>
      <c r="O258" s="17">
        <f>-(K258*0.025+L258*0.025)</f>
        <v/>
      </c>
      <c r="P258" s="17">
        <f>32</f>
        <v/>
      </c>
      <c r="Q258" s="17">
        <f>J258+L258+N258+O258-P258-M258</f>
        <v/>
      </c>
    </row>
    <row r="259">
      <c r="A259" s="16" t="inlineStr">
        <is>
          <t>5.22-5.28</t>
        </is>
      </c>
      <c r="B259" s="16" t="inlineStr">
        <is>
          <t>PO-128-16116517397112723</t>
        </is>
      </c>
      <c r="C259" s="16" t="inlineStr">
        <is>
          <t>Shipped</t>
        </is>
      </c>
      <c r="D259" s="16" t="inlineStr">
        <is>
          <t>128-16116522639992723</t>
        </is>
      </c>
      <c r="E259" s="16" t="inlineStr">
        <is>
          <t>Shipped</t>
        </is>
      </c>
      <c r="F259" s="16" t="inlineStr">
        <is>
          <t>A500-A</t>
        </is>
      </c>
      <c r="G259" s="16" t="inlineStr">
        <is>
          <t>Bocina Bluetooth Portátil Barra de Sonido, Inalámbrica con FM Radio, TWS, USB/TF, Graves Potentes para Hogar y Exteriores</t>
        </is>
      </c>
      <c r="H259" s="16" t="inlineStr">
        <is>
          <t>AZUL</t>
        </is>
      </c>
      <c r="I259" s="16" t="n">
        <v>1</v>
      </c>
      <c r="J259" s="17" t="n">
        <v>74.81</v>
      </c>
      <c r="K259" s="17" t="n">
        <v>70.40000000000001</v>
      </c>
      <c r="L259" s="17" t="n">
        <v>25.86</v>
      </c>
      <c r="M259" s="17" t="n">
        <v>0</v>
      </c>
      <c r="N259" s="17">
        <f>K259*0.08+L259*0.08</f>
        <v/>
      </c>
      <c r="O259" s="17">
        <f>-(K259*0.025+L259*0.025)</f>
        <v/>
      </c>
      <c r="P259" s="17">
        <f>32</f>
        <v/>
      </c>
      <c r="Q259" s="17">
        <f>J259+L259+N259+O259-P259-M259</f>
        <v/>
      </c>
    </row>
    <row r="260">
      <c r="A260" s="16" t="inlineStr">
        <is>
          <t>5.22-5.28</t>
        </is>
      </c>
      <c r="B260" s="16" t="inlineStr">
        <is>
          <t>PO-128-16191467960951378</t>
        </is>
      </c>
      <c r="C260" s="16" t="inlineStr">
        <is>
          <t>Shipped</t>
        </is>
      </c>
      <c r="D260" s="16" t="inlineStr">
        <is>
          <t>128-16191488932471378</t>
        </is>
      </c>
      <c r="E260" s="16" t="inlineStr">
        <is>
          <t>Shipped</t>
        </is>
      </c>
      <c r="F260" s="16" t="inlineStr">
        <is>
          <t>SA315TY</t>
        </is>
      </c>
      <c r="G260" s="16" t="inlineStr">
        <is>
          <t>Altavoz inalámbrico portátil con Luces RGB, Radio FM y Manija - 5h Duración, TWS, TF Card, Compacto y Recargable via USB，Perfecto para viajes, fiestas y gaming</t>
        </is>
      </c>
      <c r="H260" s="16" t="inlineStr">
        <is>
          <t>AMARILLO-LK</t>
        </is>
      </c>
      <c r="I260" s="16" t="n">
        <v>2</v>
      </c>
      <c r="J260" s="17" t="n">
        <v>98</v>
      </c>
      <c r="K260" s="17" t="n">
        <v>61.56</v>
      </c>
      <c r="L260" s="17" t="n">
        <v>25.86</v>
      </c>
      <c r="M260" s="17" t="n">
        <v>0</v>
      </c>
      <c r="N260" s="17">
        <f>K260*0.08+L260*0.08</f>
        <v/>
      </c>
      <c r="O260" s="17">
        <f>-(K260*0.025+L260*0.025)</f>
        <v/>
      </c>
      <c r="P260" s="17">
        <f>32</f>
        <v/>
      </c>
      <c r="Q260" s="17">
        <f>J260+L260+N260+O260-P260-M260</f>
        <v/>
      </c>
    </row>
    <row r="261">
      <c r="A261" s="16" t="inlineStr">
        <is>
          <t>5.22-5.28</t>
        </is>
      </c>
      <c r="B261" s="16" t="inlineStr">
        <is>
          <t>PO-128-15910644956794076</t>
        </is>
      </c>
      <c r="C261" s="16" t="inlineStr">
        <is>
          <t>Shipped</t>
        </is>
      </c>
      <c r="D261" s="16" t="inlineStr">
        <is>
          <t>128-15910603013754076</t>
        </is>
      </c>
      <c r="E261" s="16" t="inlineStr">
        <is>
          <t>Shipped</t>
        </is>
      </c>
      <c r="F261" s="16" t="inlineStr">
        <is>
          <t>A500-R</t>
        </is>
      </c>
      <c r="G261" s="16" t="inlineStr">
        <is>
          <t>Bocina Bluetooth Portátil Barra de Sonido, Inalámbrica con FM Radio, TWS, USB/TF, Graves Potentes para Hogar y Exteriores</t>
        </is>
      </c>
      <c r="H261" s="16" t="inlineStr">
        <is>
          <t>ROIO</t>
        </is>
      </c>
      <c r="I261" s="16" t="n">
        <v>1</v>
      </c>
      <c r="J261" s="17" t="n">
        <v>79.81999999999999</v>
      </c>
      <c r="K261" s="17" t="n">
        <v>4.08</v>
      </c>
      <c r="L261" s="17" t="n">
        <v>25.86</v>
      </c>
      <c r="M261" s="17" t="n">
        <v>0</v>
      </c>
      <c r="N261" s="17">
        <f>K261*0.08+L261*0.08</f>
        <v/>
      </c>
      <c r="O261" s="17">
        <f>-(K261*0.025+L261*0.025)</f>
        <v/>
      </c>
      <c r="P261" s="17">
        <f>32</f>
        <v/>
      </c>
      <c r="Q261" s="17">
        <f>J261+L261+N261+O261-P261-M261</f>
        <v/>
      </c>
    </row>
    <row r="262">
      <c r="A262" s="16" t="inlineStr">
        <is>
          <t>5.22-5.28</t>
        </is>
      </c>
      <c r="B262" s="16" t="inlineStr">
        <is>
          <t>PO-128-15807442647673477</t>
        </is>
      </c>
      <c r="C262" s="16" t="inlineStr">
        <is>
          <t>Shipped</t>
        </is>
      </c>
      <c r="D262" s="16" t="inlineStr">
        <is>
          <t>128-15807463619193477</t>
        </is>
      </c>
      <c r="E262" s="16" t="inlineStr">
        <is>
          <t>Shipped</t>
        </is>
      </c>
      <c r="F262" s="16" t="inlineStr">
        <is>
          <t>A500-N</t>
        </is>
      </c>
      <c r="G262" s="16" t="inlineStr">
        <is>
          <t>Bocina Bluetooth Portátil Barra de Sonido, Inalámbrica con FM Radio, TWS, USB/TF, Graves Potentes para Hogar y Exteriores</t>
        </is>
      </c>
      <c r="H262" s="16" t="inlineStr">
        <is>
          <t>NEGRO</t>
        </is>
      </c>
      <c r="I262" s="16" t="n">
        <v>1</v>
      </c>
      <c r="J262" s="17" t="n">
        <v>79.81999999999999</v>
      </c>
      <c r="K262" s="17" t="n">
        <v>30.06</v>
      </c>
      <c r="L262" s="17" t="n">
        <v>25.86</v>
      </c>
      <c r="M262" s="17" t="n">
        <v>0</v>
      </c>
      <c r="N262" s="17">
        <f>K262*0.08+L262*0.08</f>
        <v/>
      </c>
      <c r="O262" s="17">
        <f>-(K262*0.025+L262*0.025)</f>
        <v/>
      </c>
      <c r="P262" s="17">
        <f>32</f>
        <v/>
      </c>
      <c r="Q262" s="17">
        <f>J262+L262+N262+O262-P262-M262</f>
        <v/>
      </c>
    </row>
    <row r="263">
      <c r="A263" s="16" t="inlineStr">
        <is>
          <t>5.22-5.28</t>
        </is>
      </c>
      <c r="B263" s="16" t="inlineStr">
        <is>
          <t>PO-128-05085057426553067</t>
        </is>
      </c>
      <c r="C263" s="16" t="inlineStr">
        <is>
          <t>Shipped</t>
        </is>
      </c>
      <c r="D263" s="16" t="inlineStr">
        <is>
          <t>128-05085023347833067</t>
        </is>
      </c>
      <c r="E263" s="16" t="inlineStr">
        <is>
          <t>Shipped</t>
        </is>
      </c>
      <c r="F263" s="16" t="inlineStr">
        <is>
          <t>A500-A</t>
        </is>
      </c>
      <c r="G263" s="16" t="inlineStr">
        <is>
          <t>Bocina Bluetooth Portátil Barra de Sonido, Inalámbrica con FM Radio, TWS, USB/TF, Graves Potentes para Hogar y Exteriores</t>
        </is>
      </c>
      <c r="H263" s="16" t="inlineStr">
        <is>
          <t>AZUL</t>
        </is>
      </c>
      <c r="I263" s="16" t="n">
        <v>1</v>
      </c>
      <c r="J263" s="17" t="n">
        <v>74.81</v>
      </c>
      <c r="K263" s="17" t="n">
        <v>59.57</v>
      </c>
      <c r="L263" s="17" t="n">
        <v>25.86</v>
      </c>
      <c r="M263" s="17" t="n">
        <v>0</v>
      </c>
      <c r="N263" s="17">
        <f>K263*0.08+L263*0.08</f>
        <v/>
      </c>
      <c r="O263" s="17">
        <f>-(K263*0.025+L263*0.025)</f>
        <v/>
      </c>
      <c r="P263" s="17">
        <f>32</f>
        <v/>
      </c>
      <c r="Q263" s="17">
        <f>J263+L263+N263+O263-P263-M263</f>
        <v/>
      </c>
    </row>
    <row r="264">
      <c r="A264" s="16" t="inlineStr">
        <is>
          <t>5.22-5.28</t>
        </is>
      </c>
      <c r="B264" s="16" t="inlineStr">
        <is>
          <t>PO-128-05176521705591304</t>
        </is>
      </c>
      <c r="C264" s="16" t="inlineStr">
        <is>
          <t>Shipped</t>
        </is>
      </c>
      <c r="D264" s="16" t="inlineStr">
        <is>
          <t>128-05176542677111304</t>
        </is>
      </c>
      <c r="E264" s="16" t="inlineStr">
        <is>
          <t>Shipped</t>
        </is>
      </c>
      <c r="F264" s="16" t="inlineStr">
        <is>
          <t>SA320T-P</t>
        </is>
      </c>
      <c r="G264" s="16" t="inlineStr">
        <is>
          <t>Altavoz inalámbrico portátil con Luces RGB, Radio FM y Manija - 5h Duración, TWS, TF Card, Compacto y Recargable via USB，Perfecto para viajes, fiestas y gaming</t>
        </is>
      </c>
      <c r="H264" s="16" t="inlineStr">
        <is>
          <t>rosa</t>
        </is>
      </c>
      <c r="I264" s="16" t="n">
        <v>1</v>
      </c>
      <c r="J264" s="17" t="n">
        <v>60</v>
      </c>
      <c r="K264" s="17" t="n">
        <v>56.58</v>
      </c>
      <c r="L264" s="17" t="n">
        <v>12.66</v>
      </c>
      <c r="M264" s="17" t="n">
        <v>0</v>
      </c>
      <c r="N264" s="17">
        <f>K264*0.08+L264*0.08</f>
        <v/>
      </c>
      <c r="O264" s="17">
        <f>-(K264*0.025+L264*0.025)</f>
        <v/>
      </c>
      <c r="P264" s="17">
        <f>32</f>
        <v/>
      </c>
      <c r="Q264" s="17">
        <f>J264+L264+N264+O264-P264-M264</f>
        <v/>
      </c>
    </row>
    <row r="265">
      <c r="A265" s="16" t="inlineStr">
        <is>
          <t>5.22-5.28</t>
        </is>
      </c>
      <c r="B265" s="16" t="inlineStr">
        <is>
          <t>PO-128-05176521705591304</t>
        </is>
      </c>
      <c r="C265" s="16" t="inlineStr">
        <is>
          <t>Shipped</t>
        </is>
      </c>
      <c r="D265" s="16" t="inlineStr">
        <is>
          <t>128-05176500734071304</t>
        </is>
      </c>
      <c r="E265" s="16" t="inlineStr">
        <is>
          <t>Shipped</t>
        </is>
      </c>
      <c r="F265" s="16" t="inlineStr">
        <is>
          <t>SA320T-R</t>
        </is>
      </c>
      <c r="G265" s="16" t="inlineStr">
        <is>
          <t>Altavoz inalámbrico portátil con Luces RGB, Radio FM y Manija - 5h Duración, TWS, TF Card, Compacto y Recargable via USB，Perfecto para viajes, fiestas y gaming</t>
        </is>
      </c>
      <c r="H265" s="16" t="inlineStr">
        <is>
          <t>rojo</t>
        </is>
      </c>
      <c r="I265" s="16" t="n">
        <v>1</v>
      </c>
      <c r="J265" s="17" t="n">
        <v>63</v>
      </c>
      <c r="K265" s="17" t="n">
        <v>58.99</v>
      </c>
      <c r="L265" s="17" t="n">
        <v>13.21</v>
      </c>
      <c r="M265" s="17" t="n">
        <v>0</v>
      </c>
      <c r="N265" s="17">
        <f>K265*0.08+L265*0.08</f>
        <v/>
      </c>
      <c r="O265" s="17">
        <f>-(K265*0.025+L265*0.025)</f>
        <v/>
      </c>
      <c r="P265" s="17">
        <f>32</f>
        <v/>
      </c>
      <c r="Q265" s="17">
        <f>J265+L265+N265+O265-P265-M265</f>
        <v/>
      </c>
    </row>
    <row r="266">
      <c r="A266" s="16" t="inlineStr">
        <is>
          <t>5.22-5.28</t>
        </is>
      </c>
      <c r="B266" s="16" t="inlineStr">
        <is>
          <t>PO-128-04944287552633712</t>
        </is>
      </c>
      <c r="C266" s="16" t="inlineStr">
        <is>
          <t>Shipped</t>
        </is>
      </c>
      <c r="D266" s="16" t="inlineStr">
        <is>
          <t>128-04944329372793712</t>
        </is>
      </c>
      <c r="E266" s="16" t="inlineStr">
        <is>
          <t>Shipped</t>
        </is>
      </c>
      <c r="F266" s="16" t="inlineStr">
        <is>
          <t>A500-R</t>
        </is>
      </c>
      <c r="G266" s="16" t="inlineStr">
        <is>
          <t>Bocina Bluetooth Portátil Barra de Sonido, Inalámbrica con FM Radio, TWS, USB/TF, Graves Potentes para Hogar y Exteriores</t>
        </is>
      </c>
      <c r="H266" s="16" t="inlineStr">
        <is>
          <t>ROIO</t>
        </is>
      </c>
      <c r="I266" s="16" t="n">
        <v>1</v>
      </c>
      <c r="J266" s="17" t="n">
        <v>79.81999999999999</v>
      </c>
      <c r="K266" s="17" t="n">
        <v>90.40000000000001</v>
      </c>
      <c r="L266" s="17" t="n">
        <v>25.86</v>
      </c>
      <c r="M266" s="17" t="n">
        <v>0</v>
      </c>
      <c r="N266" s="17">
        <f>K266*0.08+L266*0.08</f>
        <v/>
      </c>
      <c r="O266" s="17">
        <f>-(K266*0.025+L266*0.025)</f>
        <v/>
      </c>
      <c r="P266" s="17">
        <f>32</f>
        <v/>
      </c>
      <c r="Q266" s="17">
        <f>J266+L266+N266+O266-P266-M266</f>
        <v/>
      </c>
    </row>
    <row r="267">
      <c r="A267" s="16" t="inlineStr">
        <is>
          <t>5.22-5.28</t>
        </is>
      </c>
      <c r="B267" s="16" t="inlineStr">
        <is>
          <t>PO-128-05179926659191284</t>
        </is>
      </c>
      <c r="C267" s="16" t="inlineStr">
        <is>
          <t>Shipped</t>
        </is>
      </c>
      <c r="D267" s="16" t="inlineStr">
        <is>
          <t>128-05179884716151284</t>
        </is>
      </c>
      <c r="E267" s="16" t="inlineStr">
        <is>
          <t>Shipped</t>
        </is>
      </c>
      <c r="F267" s="16" t="inlineStr">
        <is>
          <t>A500-N</t>
        </is>
      </c>
      <c r="G267" s="16" t="inlineStr">
        <is>
          <t>Bocina Bluetooth Portátil Barra de Sonido, Inalámbrica con FM Radio, TWS, USB/TF, Graves Potentes para Hogar y Exteriores</t>
        </is>
      </c>
      <c r="H267" s="16" t="inlineStr">
        <is>
          <t>NEGRO</t>
        </is>
      </c>
      <c r="I267" s="16" t="n">
        <v>1</v>
      </c>
      <c r="J267" s="17" t="n">
        <v>79.81999999999999</v>
      </c>
      <c r="K267" s="17" t="n">
        <v>90.40000000000001</v>
      </c>
      <c r="L267" s="17" t="n">
        <v>25.86</v>
      </c>
      <c r="M267" s="17" t="n">
        <v>0</v>
      </c>
      <c r="N267" s="17">
        <f>K267*0.08+L267*0.08</f>
        <v/>
      </c>
      <c r="O267" s="17">
        <f>-(K267*0.025+L267*0.025)</f>
        <v/>
      </c>
      <c r="P267" s="17">
        <f>32</f>
        <v/>
      </c>
      <c r="Q267" s="17">
        <f>J267+L267+N267+O267-P267-M267</f>
        <v/>
      </c>
    </row>
    <row r="268">
      <c r="A268" s="16" t="inlineStr">
        <is>
          <t>5.22-5.28</t>
        </is>
      </c>
      <c r="B268" s="16" t="inlineStr">
        <is>
          <t>PO-128-04935652570233956</t>
        </is>
      </c>
      <c r="C268" s="16" t="inlineStr">
        <is>
          <t>Shipped</t>
        </is>
      </c>
      <c r="D268" s="16" t="inlineStr">
        <is>
          <t>128-04935610627193956</t>
        </is>
      </c>
      <c r="E268" s="16" t="inlineStr">
        <is>
          <t>Shipped</t>
        </is>
      </c>
      <c r="F268" s="16" t="inlineStr">
        <is>
          <t>A500-A</t>
        </is>
      </c>
      <c r="G268" s="16" t="inlineStr">
        <is>
          <t>Bocina Bluetooth Portátil Barra de Sonido, Inalámbrica con FM Radio, TWS, USB/TF, Graves Potentes para Hogar y Exteriores</t>
        </is>
      </c>
      <c r="H268" s="16" t="inlineStr">
        <is>
          <t>AZUL</t>
        </is>
      </c>
      <c r="I268" s="16" t="n">
        <v>1</v>
      </c>
      <c r="J268" s="17" t="n">
        <v>74.81</v>
      </c>
      <c r="K268" s="17" t="n">
        <v>2</v>
      </c>
      <c r="L268" s="17" t="n">
        <v>25.86</v>
      </c>
      <c r="M268" s="17" t="n">
        <v>0</v>
      </c>
      <c r="N268" s="17">
        <f>K268*0.08+L268*0.08</f>
        <v/>
      </c>
      <c r="O268" s="17">
        <f>-(K268*0.025+L268*0.025)</f>
        <v/>
      </c>
      <c r="P268" s="17">
        <f>32</f>
        <v/>
      </c>
      <c r="Q268" s="17">
        <f>J268+L268+N268+O268-P268-M268</f>
        <v/>
      </c>
    </row>
    <row r="269">
      <c r="A269" s="16" t="inlineStr">
        <is>
          <t>5.22-5.28</t>
        </is>
      </c>
      <c r="B269" s="16" t="inlineStr">
        <is>
          <t>PO-128-05342668319350506</t>
        </is>
      </c>
      <c r="C269" s="16" t="inlineStr">
        <is>
          <t>Shipped</t>
        </is>
      </c>
      <c r="D269" s="16" t="inlineStr">
        <is>
          <t>128-05342626376310506</t>
        </is>
      </c>
      <c r="E269" s="16" t="inlineStr">
        <is>
          <t>Shipped</t>
        </is>
      </c>
      <c r="F269" s="16" t="inlineStr">
        <is>
          <t>A500-N</t>
        </is>
      </c>
      <c r="G269" s="16" t="inlineStr">
        <is>
          <t>Bocina Bluetooth Portátil Barra de Sonido, Inalámbrica con FM Radio, TWS, USB/TF, Graves Potentes para Hogar y Exteriores</t>
        </is>
      </c>
      <c r="H269" s="16" t="inlineStr">
        <is>
          <t>NEGRO</t>
        </is>
      </c>
      <c r="I269" s="16" t="n">
        <v>1</v>
      </c>
      <c r="J269" s="17" t="n">
        <v>79.81999999999999</v>
      </c>
      <c r="K269" s="17" t="n">
        <v>90.40000000000001</v>
      </c>
      <c r="L269" s="17" t="n">
        <v>25.86</v>
      </c>
      <c r="M269" s="17" t="n">
        <v>0</v>
      </c>
      <c r="N269" s="17">
        <f>K269*0.08+L269*0.08</f>
        <v/>
      </c>
      <c r="O269" s="17">
        <f>-(K269*0.025+L269*0.025)</f>
        <v/>
      </c>
      <c r="P269" s="17">
        <f>32</f>
        <v/>
      </c>
      <c r="Q269" s="17">
        <f>J269+L269+N269+O269-P269-M269</f>
        <v/>
      </c>
    </row>
    <row r="270">
      <c r="A270" s="16" t="inlineStr">
        <is>
          <t>5.22-5.28</t>
        </is>
      </c>
      <c r="B270" s="16" t="inlineStr">
        <is>
          <t>PO-128-04873814016633300</t>
        </is>
      </c>
      <c r="C270" s="16" t="inlineStr">
        <is>
          <t>Shipped</t>
        </is>
      </c>
      <c r="D270" s="16" t="inlineStr">
        <is>
          <t>128-04873799598713300</t>
        </is>
      </c>
      <c r="E270" s="16" t="inlineStr">
        <is>
          <t>Shipped</t>
        </is>
      </c>
      <c r="F270" s="16" t="inlineStr">
        <is>
          <t>SA315TA</t>
        </is>
      </c>
      <c r="G270" s="16" t="inlineStr">
        <is>
          <t>Altavoz inalámbrico portátil con Luces RGB, Radio FM y Manija - 5h Duración, TWS, TF Card, Compacto y Recargable via USB，Perfecto para viajes, fiestas y gaming</t>
        </is>
      </c>
      <c r="H270" s="16" t="inlineStr">
        <is>
          <t>AZUL-LK</t>
        </is>
      </c>
      <c r="I270" s="16" t="n">
        <v>1</v>
      </c>
      <c r="J270" s="17" t="n">
        <v>49</v>
      </c>
      <c r="K270" s="17" t="n">
        <v>41.53</v>
      </c>
      <c r="L270" s="17" t="n">
        <v>25.86</v>
      </c>
      <c r="M270" s="17" t="n">
        <v>0</v>
      </c>
      <c r="N270" s="17">
        <f>K270*0.08+L270*0.08</f>
        <v/>
      </c>
      <c r="O270" s="17">
        <f>-(K270*0.025+L270*0.025)</f>
        <v/>
      </c>
      <c r="P270" s="17">
        <f>32</f>
        <v/>
      </c>
      <c r="Q270" s="17">
        <f>J270+L270+N270+O270-P270-M270</f>
        <v/>
      </c>
    </row>
    <row r="271">
      <c r="A271" s="16" t="inlineStr">
        <is>
          <t>5.22-5.28</t>
        </is>
      </c>
      <c r="B271" s="16" t="inlineStr">
        <is>
          <t>PO-128-05051417805432050</t>
        </is>
      </c>
      <c r="C271" s="16" t="inlineStr">
        <is>
          <t>Shipped</t>
        </is>
      </c>
      <c r="D271" s="16" t="inlineStr">
        <is>
          <t>128-05051375862392050</t>
        </is>
      </c>
      <c r="E271" s="16" t="inlineStr">
        <is>
          <t>Shipped</t>
        </is>
      </c>
      <c r="F271" s="16" t="inlineStr">
        <is>
          <t>A500-A</t>
        </is>
      </c>
      <c r="G271" s="16" t="inlineStr">
        <is>
          <t>Bocina Bluetooth Portátil Barra de Sonido, Inalámbrica con FM Radio, TWS, USB/TF, Graves Potentes para Hogar y Exteriores</t>
        </is>
      </c>
      <c r="H271" s="16" t="inlineStr">
        <is>
          <t>AZUL</t>
        </is>
      </c>
      <c r="I271" s="16" t="n">
        <v>1</v>
      </c>
      <c r="J271" s="17" t="n">
        <v>74.2</v>
      </c>
      <c r="K271" s="17" t="n">
        <v>84.16</v>
      </c>
      <c r="L271" s="17" t="n">
        <v>25.86</v>
      </c>
      <c r="M271" s="17" t="n">
        <v>0</v>
      </c>
      <c r="N271" s="17">
        <f>K271*0.08+L271*0.08</f>
        <v/>
      </c>
      <c r="O271" s="17">
        <f>-(K271*0.025+L271*0.025)</f>
        <v/>
      </c>
      <c r="P271" s="17">
        <f>32</f>
        <v/>
      </c>
      <c r="Q271" s="17">
        <f>J271+L271+N271+O271-P271-M271</f>
        <v/>
      </c>
    </row>
    <row r="272">
      <c r="A272" s="16" t="inlineStr">
        <is>
          <t>5.22-5.28</t>
        </is>
      </c>
      <c r="B272" s="16" t="inlineStr">
        <is>
          <t>PO-128-05251661066872008</t>
        </is>
      </c>
      <c r="C272" s="16" t="inlineStr">
        <is>
          <t>Shipped</t>
        </is>
      </c>
      <c r="D272" s="16" t="inlineStr">
        <is>
          <t>128-05251671552632008</t>
        </is>
      </c>
      <c r="E272" s="16" t="inlineStr">
        <is>
          <t>Shipped</t>
        </is>
      </c>
      <c r="F272" s="16" t="inlineStr">
        <is>
          <t>A500-N</t>
        </is>
      </c>
      <c r="G272" s="16" t="inlineStr">
        <is>
          <t>Bocina Bluetooth Portátil Barra de Sonido, Inalámbrica con FM Radio, TWS, USB/TF, Graves Potentes para Hogar y Exteriores</t>
        </is>
      </c>
      <c r="H272" s="16" t="inlineStr">
        <is>
          <t>NEGRO</t>
        </is>
      </c>
      <c r="I272" s="16" t="n">
        <v>1</v>
      </c>
      <c r="J272" s="17" t="n">
        <v>81.95999999999999</v>
      </c>
      <c r="K272" s="17" t="n">
        <v>92.53</v>
      </c>
      <c r="L272" s="17" t="n">
        <v>25.86</v>
      </c>
      <c r="M272" s="17" t="n">
        <v>0</v>
      </c>
      <c r="N272" s="17">
        <f>K272*0.08+L272*0.08</f>
        <v/>
      </c>
      <c r="O272" s="17">
        <f>-(K272*0.025+L272*0.025)</f>
        <v/>
      </c>
      <c r="P272" s="17">
        <f>32</f>
        <v/>
      </c>
      <c r="Q272" s="17">
        <f>J272+L272+N272+O272-P272-M272</f>
        <v/>
      </c>
    </row>
    <row r="273">
      <c r="A273" s="16" t="inlineStr">
        <is>
          <t>5.22-5.28</t>
        </is>
      </c>
      <c r="B273" s="16" t="inlineStr">
        <is>
          <t>PO-128-05111995310712715</t>
        </is>
      </c>
      <c r="C273" s="16" t="inlineStr">
        <is>
          <t>Shipped</t>
        </is>
      </c>
      <c r="D273" s="16" t="inlineStr">
        <is>
          <t>128-05111953367672715</t>
        </is>
      </c>
      <c r="E273" s="16" t="inlineStr">
        <is>
          <t>Shipped</t>
        </is>
      </c>
      <c r="F273" s="16" t="inlineStr">
        <is>
          <t>A500-A</t>
        </is>
      </c>
      <c r="G273" s="16" t="inlineStr">
        <is>
          <t>Bocina Bluetooth Portátil Barra de Sonido, Inalámbrica con FM Radio, TWS, USB/TF, Graves Potentes para Hogar y Exteriores</t>
        </is>
      </c>
      <c r="H273" s="16" t="inlineStr">
        <is>
          <t>AZUL</t>
        </is>
      </c>
      <c r="I273" s="16" t="n">
        <v>1</v>
      </c>
      <c r="J273" s="17" t="n">
        <v>74.2</v>
      </c>
      <c r="K273" s="17" t="n">
        <v>1.4</v>
      </c>
      <c r="L273" s="17" t="n">
        <v>25.86</v>
      </c>
      <c r="M273" s="17" t="n">
        <v>0</v>
      </c>
      <c r="N273" s="17">
        <f>K273*0.08+L273*0.08</f>
        <v/>
      </c>
      <c r="O273" s="17">
        <f>-(K273*0.025+L273*0.025)</f>
        <v/>
      </c>
      <c r="P273" s="17">
        <f>32</f>
        <v/>
      </c>
      <c r="Q273" s="17">
        <f>J273+L273+N273+O273-P273-M273</f>
        <v/>
      </c>
    </row>
    <row r="274">
      <c r="A274" s="16" t="inlineStr">
        <is>
          <t>5.22-5.28</t>
        </is>
      </c>
      <c r="B274" s="16" t="inlineStr">
        <is>
          <t>PO-128-05301144315511779</t>
        </is>
      </c>
      <c r="C274" s="16" t="inlineStr">
        <is>
          <t>Shipped</t>
        </is>
      </c>
      <c r="D274" s="16" t="inlineStr">
        <is>
          <t>128-05301170529911779</t>
        </is>
      </c>
      <c r="E274" s="16" t="inlineStr">
        <is>
          <t>Shipped</t>
        </is>
      </c>
      <c r="F274" s="16" t="inlineStr">
        <is>
          <t>SA320T-P</t>
        </is>
      </c>
      <c r="G274" s="16" t="inlineStr">
        <is>
          <t>Altavoz inalámbrico portátil con Luces RGB, Radio FM y Manija - 5h Duración, TWS, TF Card, Compacto y Recargable via USB，Perfecto para viajes, fiestas y gaming</t>
        </is>
      </c>
      <c r="H274" s="16" t="inlineStr">
        <is>
          <t>rosa</t>
        </is>
      </c>
      <c r="I274" s="16" t="n">
        <v>1</v>
      </c>
      <c r="J274" s="17" t="n">
        <v>60</v>
      </c>
      <c r="K274" s="17" t="n">
        <v>31.12</v>
      </c>
      <c r="L274" s="17" t="n">
        <v>25.86</v>
      </c>
      <c r="M274" s="17" t="n">
        <v>0</v>
      </c>
      <c r="N274" s="17">
        <f>K274*0.08+L274*0.08</f>
        <v/>
      </c>
      <c r="O274" s="17">
        <f>-(K274*0.025+L274*0.025)</f>
        <v/>
      </c>
      <c r="P274" s="17">
        <f>32</f>
        <v/>
      </c>
      <c r="Q274" s="17">
        <f>J274+L274+N274+O274-P274-M274</f>
        <v/>
      </c>
    </row>
    <row r="275">
      <c r="A275" s="16" t="inlineStr">
        <is>
          <t>5.22-5.28</t>
        </is>
      </c>
      <c r="B275" s="16" t="inlineStr">
        <is>
          <t>PO-128-04868615660153269</t>
        </is>
      </c>
      <c r="C275" s="16" t="inlineStr">
        <is>
          <t>Shipped</t>
        </is>
      </c>
      <c r="D275" s="16" t="inlineStr">
        <is>
          <t>128-04868720517753269</t>
        </is>
      </c>
      <c r="E275" s="16" t="inlineStr">
        <is>
          <t>Shipped</t>
        </is>
      </c>
      <c r="F275" s="16" t="inlineStr">
        <is>
          <t>A500-A</t>
        </is>
      </c>
      <c r="G275" s="16" t="inlineStr">
        <is>
          <t>Bocina Bluetooth Portátil Barra de Sonido, Inalámbrica con FM Radio, TWS, USB/TF, Graves Potentes para Hogar y Exteriores</t>
        </is>
      </c>
      <c r="H275" s="16" t="inlineStr">
        <is>
          <t>AZUL</t>
        </is>
      </c>
      <c r="I275" s="16" t="n">
        <v>1</v>
      </c>
      <c r="J275" s="17" t="n">
        <v>74.2</v>
      </c>
      <c r="K275" s="17" t="n">
        <v>84.16</v>
      </c>
      <c r="L275" s="17" t="n">
        <v>25.86</v>
      </c>
      <c r="M275" s="17" t="n">
        <v>0</v>
      </c>
      <c r="N275" s="17">
        <f>K275*0.08+L275*0.08</f>
        <v/>
      </c>
      <c r="O275" s="17">
        <f>-(K275*0.025+L275*0.025)</f>
        <v/>
      </c>
      <c r="P275" s="17">
        <f>32</f>
        <v/>
      </c>
      <c r="Q275" s="17">
        <f>J275+L275+N275+O275-P275-M275</f>
        <v/>
      </c>
    </row>
    <row r="276">
      <c r="A276" s="16" t="inlineStr">
        <is>
          <t>5.22-5.28</t>
        </is>
      </c>
      <c r="B276" s="16" t="inlineStr">
        <is>
          <t>PO-128-05217177779831254</t>
        </is>
      </c>
      <c r="C276" s="16" t="inlineStr">
        <is>
          <t>Shipped</t>
        </is>
      </c>
      <c r="D276" s="16" t="inlineStr">
        <is>
          <t>128-05217203994231254</t>
        </is>
      </c>
      <c r="E276" s="16" t="inlineStr">
        <is>
          <t>Shipped</t>
        </is>
      </c>
      <c r="F276" s="16" t="inlineStr">
        <is>
          <t>MB-185N</t>
        </is>
      </c>
      <c r="G276" s="16" t="inlineStr">
        <is>
          <t>Bocina Radio FM/Reproductor, Compatible con Tarjeta TF, USB, Bluetooth, Aplicable para celular, computadora, Ipad y consola</t>
        </is>
      </c>
      <c r="H276" s="16" t="inlineStr">
        <is>
          <t>NEGRO/MB-185</t>
        </is>
      </c>
      <c r="I276" s="16" t="n">
        <v>1</v>
      </c>
      <c r="J276" s="17" t="n">
        <v>85</v>
      </c>
      <c r="K276" s="17" t="n">
        <v>97.94</v>
      </c>
      <c r="L276" s="17" t="n">
        <v>25.86</v>
      </c>
      <c r="M276" s="17" t="n">
        <v>0</v>
      </c>
      <c r="N276" s="17">
        <f>K276*0.08+L276*0.08</f>
        <v/>
      </c>
      <c r="O276" s="17">
        <f>-(K276*0.025+L276*0.025)</f>
        <v/>
      </c>
      <c r="P276" s="17">
        <f>32</f>
        <v/>
      </c>
      <c r="Q276" s="17">
        <f>J276+L276+N276+O276-P276-M276</f>
        <v/>
      </c>
    </row>
    <row r="277">
      <c r="A277" s="16" t="inlineStr">
        <is>
          <t>5.22-5.28</t>
        </is>
      </c>
      <c r="B277" s="16" t="inlineStr">
        <is>
          <t>PO-128-17768138344310044</t>
        </is>
      </c>
      <c r="C277" s="16" t="inlineStr">
        <is>
          <t>Shipped</t>
        </is>
      </c>
      <c r="D277" s="16" t="inlineStr">
        <is>
          <t>128-17768148830070044</t>
        </is>
      </c>
      <c r="E277" s="16" t="inlineStr">
        <is>
          <t>Shipped</t>
        </is>
      </c>
      <c r="F277" s="16" t="inlineStr">
        <is>
          <t>A500-A</t>
        </is>
      </c>
      <c r="G277" s="16" t="inlineStr">
        <is>
          <t>Bocina Bluetooth Portátil Barra de Sonido, Inalámbrica con FM Radio, TWS, USB/TF, Graves Potentes para Hogar y Exteriores</t>
        </is>
      </c>
      <c r="H277" s="16" t="inlineStr">
        <is>
          <t>AZUL</t>
        </is>
      </c>
      <c r="I277" s="16" t="n">
        <v>1</v>
      </c>
      <c r="J277" s="17" t="n">
        <v>74.2</v>
      </c>
      <c r="K277" s="17" t="n">
        <v>84.16</v>
      </c>
      <c r="L277" s="17" t="n">
        <v>25.86</v>
      </c>
      <c r="M277" s="17" t="n">
        <v>0</v>
      </c>
      <c r="N277" s="17">
        <f>K277*0.08+L277*0.08</f>
        <v/>
      </c>
      <c r="O277" s="17">
        <f>-(K277*0.025+L277*0.025)</f>
        <v/>
      </c>
      <c r="P277" s="17">
        <f>32</f>
        <v/>
      </c>
      <c r="Q277" s="17">
        <f>J277+L277+N277+O277-P277-M277</f>
        <v/>
      </c>
    </row>
    <row r="278">
      <c r="A278" s="16" t="inlineStr">
        <is>
          <t>5.22-5.28</t>
        </is>
      </c>
      <c r="B278" s="16" t="inlineStr">
        <is>
          <t>PO-128-17676820780151548</t>
        </is>
      </c>
      <c r="C278" s="16" t="inlineStr">
        <is>
          <t>Shipped</t>
        </is>
      </c>
      <c r="D278" s="16" t="inlineStr">
        <is>
          <t>128-17676972823671548</t>
        </is>
      </c>
      <c r="E278" s="16" t="inlineStr">
        <is>
          <t>Shipped</t>
        </is>
      </c>
      <c r="F278" s="16" t="inlineStr">
        <is>
          <t>A500-A</t>
        </is>
      </c>
      <c r="G278" s="16" t="inlineStr">
        <is>
          <t>Bocina Bluetooth Portátil Barra de Sonido, Inalámbrica con FM Radio, TWS, USB/TF, Graves Potentes para Hogar y Exteriores</t>
        </is>
      </c>
      <c r="H278" s="16" t="inlineStr">
        <is>
          <t>AZUL</t>
        </is>
      </c>
      <c r="I278" s="16" t="n">
        <v>1</v>
      </c>
      <c r="J278" s="17" t="n">
        <v>74.2</v>
      </c>
      <c r="K278" s="17" t="n">
        <v>1.4</v>
      </c>
      <c r="L278" s="17" t="n">
        <v>25.86</v>
      </c>
      <c r="M278" s="17" t="n">
        <v>0</v>
      </c>
      <c r="N278" s="17">
        <f>K278*0.08+L278*0.08</f>
        <v/>
      </c>
      <c r="O278" s="17">
        <f>-(K278*0.025+L278*0.025)</f>
        <v/>
      </c>
      <c r="P278" s="17">
        <f>32</f>
        <v/>
      </c>
      <c r="Q278" s="17">
        <f>J278+L278+N278+O278-P278-M278</f>
        <v/>
      </c>
    </row>
    <row r="279">
      <c r="A279" s="16" t="inlineStr">
        <is>
          <t>5.22-5.28</t>
        </is>
      </c>
      <c r="B279" s="16" t="inlineStr">
        <is>
          <t>PO-128-17860946732150581</t>
        </is>
      </c>
      <c r="C279" s="16" t="inlineStr">
        <is>
          <t>Shipped</t>
        </is>
      </c>
      <c r="D279" s="16" t="inlineStr">
        <is>
          <t>128-17861014889590581</t>
        </is>
      </c>
      <c r="E279" s="16" t="inlineStr">
        <is>
          <t>Shipped</t>
        </is>
      </c>
      <c r="F279" s="16" t="inlineStr">
        <is>
          <t>MB-185A</t>
        </is>
      </c>
      <c r="G279" s="16" t="inlineStr">
        <is>
          <t>Bocina Radio FM/Reproductor, Compatible con Tarjeta TF, USB, Bluetooth, Aplicable para celular, computadora, Ipad y consola</t>
        </is>
      </c>
      <c r="H279" s="16" t="inlineStr">
        <is>
          <t>AZUL/MB-185</t>
        </is>
      </c>
      <c r="I279" s="16" t="n">
        <v>1</v>
      </c>
      <c r="J279" s="17" t="n">
        <v>77.5</v>
      </c>
      <c r="K279" s="17" t="n">
        <v>72.34999999999999</v>
      </c>
      <c r="L279" s="17" t="n">
        <v>25.86</v>
      </c>
      <c r="M279" s="17" t="n">
        <v>0</v>
      </c>
      <c r="N279" s="17">
        <f>K279*0.08+L279*0.08</f>
        <v/>
      </c>
      <c r="O279" s="17">
        <f>-(K279*0.025+L279*0.025)</f>
        <v/>
      </c>
      <c r="P279" s="17">
        <f>32</f>
        <v/>
      </c>
      <c r="Q279" s="17">
        <f>J279+L279+N279+O279-P279-M279</f>
        <v/>
      </c>
    </row>
    <row r="280">
      <c r="A280" s="16" t="inlineStr">
        <is>
          <t>5.22-5.28</t>
        </is>
      </c>
      <c r="B280" s="16" t="inlineStr">
        <is>
          <t>PO-128-17479819876472917</t>
        </is>
      </c>
      <c r="C280" s="16" t="inlineStr">
        <is>
          <t>Shipped</t>
        </is>
      </c>
      <c r="D280" s="16" t="inlineStr">
        <is>
          <t>128-17479777933432917</t>
        </is>
      </c>
      <c r="E280" s="16" t="inlineStr">
        <is>
          <t>Shipped</t>
        </is>
      </c>
      <c r="F280" s="16" t="inlineStr">
        <is>
          <t>A500-N</t>
        </is>
      </c>
      <c r="G280" s="16" t="inlineStr">
        <is>
          <t>Bocina Bluetooth Portátil Barra de Sonido, Inalámbrica con FM Radio, TWS, USB/TF, Graves Potentes para Hogar y Exteriores</t>
        </is>
      </c>
      <c r="H280" s="16" t="inlineStr">
        <is>
          <t>NEGRO</t>
        </is>
      </c>
      <c r="I280" s="16" t="n">
        <v>1</v>
      </c>
      <c r="J280" s="17" t="n">
        <v>81.95999999999999</v>
      </c>
      <c r="K280" s="17" t="n">
        <v>92.53</v>
      </c>
      <c r="L280" s="17" t="n">
        <v>25.86</v>
      </c>
      <c r="M280" s="17" t="n">
        <v>0</v>
      </c>
      <c r="N280" s="17">
        <f>K280*0.08+L280*0.08</f>
        <v/>
      </c>
      <c r="O280" s="17">
        <f>-(K280*0.025+L280*0.025)</f>
        <v/>
      </c>
      <c r="P280" s="17">
        <f>32</f>
        <v/>
      </c>
      <c r="Q280" s="17">
        <f>J280+L280+N280+O280-P280-M280</f>
        <v/>
      </c>
    </row>
    <row r="281">
      <c r="A281" s="16" t="inlineStr">
        <is>
          <t>5.22-5.28</t>
        </is>
      </c>
      <c r="B281" s="16" t="inlineStr">
        <is>
          <t>PO-128-17394624684152206</t>
        </is>
      </c>
      <c r="C281" s="16" t="inlineStr">
        <is>
          <t>Shipped</t>
        </is>
      </c>
      <c r="D281" s="16" t="inlineStr">
        <is>
          <t>128-17394692841592206</t>
        </is>
      </c>
      <c r="E281" s="16" t="inlineStr">
        <is>
          <t>Shipped</t>
        </is>
      </c>
      <c r="F281" s="16" t="inlineStr">
        <is>
          <t>A500-N</t>
        </is>
      </c>
      <c r="G281" s="16" t="inlineStr">
        <is>
          <t>Bocina Bluetooth Portátil Barra de Sonido, Inalámbrica con FM Radio, TWS, USB/TF, Graves Potentes para Hogar y Exteriores</t>
        </is>
      </c>
      <c r="H281" s="16" t="inlineStr">
        <is>
          <t>NEGRO</t>
        </is>
      </c>
      <c r="I281" s="16" t="n">
        <v>1</v>
      </c>
      <c r="J281" s="17" t="n">
        <v>81.95999999999999</v>
      </c>
      <c r="K281" s="17" t="n">
        <v>92.53</v>
      </c>
      <c r="L281" s="17" t="n">
        <v>25.86</v>
      </c>
      <c r="M281" s="17" t="n">
        <v>0</v>
      </c>
      <c r="N281" s="17">
        <f>K281*0.08+L281*0.08</f>
        <v/>
      </c>
      <c r="O281" s="17">
        <f>-(K281*0.025+L281*0.025)</f>
        <v/>
      </c>
      <c r="P281" s="17">
        <f>32</f>
        <v/>
      </c>
      <c r="Q281" s="17">
        <f>J281+L281+N281+O281-P281-M281</f>
        <v/>
      </c>
    </row>
    <row r="282">
      <c r="A282" s="16" t="inlineStr">
        <is>
          <t>5.22-5.28</t>
        </is>
      </c>
      <c r="B282" s="16" t="inlineStr">
        <is>
          <t>PO-128-17441151951992955</t>
        </is>
      </c>
      <c r="C282" s="16" t="inlineStr">
        <is>
          <t>Shipped</t>
        </is>
      </c>
      <c r="D282" s="16" t="inlineStr">
        <is>
          <t>128-17441193895032955</t>
        </is>
      </c>
      <c r="E282" s="16" t="inlineStr">
        <is>
          <t>Shipped</t>
        </is>
      </c>
      <c r="F282" s="16" t="inlineStr">
        <is>
          <t>SA320T-N</t>
        </is>
      </c>
      <c r="G282" s="16" t="inlineStr">
        <is>
          <t>Altavoz inalámbrico portátil con Luces RGB, Radio FM y Manija - 5h Duración, TWS, TF Card, Compacto y Recargable via USB，Perfecto para viajes, fiestas y gaming</t>
        </is>
      </c>
      <c r="H282" s="16" t="inlineStr">
        <is>
          <t>negro</t>
        </is>
      </c>
      <c r="I282" s="16" t="n">
        <v>1</v>
      </c>
      <c r="J282" s="17" t="n">
        <v>63</v>
      </c>
      <c r="K282" s="17" t="n">
        <v>73.72</v>
      </c>
      <c r="L282" s="17" t="n">
        <v>25.86</v>
      </c>
      <c r="M282" s="17" t="n">
        <v>0</v>
      </c>
      <c r="N282" s="17">
        <f>K282*0.08+L282*0.08</f>
        <v/>
      </c>
      <c r="O282" s="17">
        <f>-(K282*0.025+L282*0.025)</f>
        <v/>
      </c>
      <c r="P282" s="17">
        <f>32</f>
        <v/>
      </c>
      <c r="Q282" s="17">
        <f>J282+L282+N282+O282-P282-M282</f>
        <v/>
      </c>
    </row>
    <row r="283">
      <c r="A283" s="16" t="inlineStr">
        <is>
          <t>5.22-5.28</t>
        </is>
      </c>
      <c r="B283" s="16" t="inlineStr">
        <is>
          <t>PO-128-17467326715512863</t>
        </is>
      </c>
      <c r="C283" s="16" t="inlineStr">
        <is>
          <t>Shipped</t>
        </is>
      </c>
      <c r="D283" s="16" t="inlineStr">
        <is>
          <t>128-17467284772472863</t>
        </is>
      </c>
      <c r="E283" s="16" t="inlineStr">
        <is>
          <t>Shipped</t>
        </is>
      </c>
      <c r="F283" s="16" t="inlineStr">
        <is>
          <t>A500-N</t>
        </is>
      </c>
      <c r="G283" s="16" t="inlineStr">
        <is>
          <t>Bocina Bluetooth Portátil Barra de Sonido, Inalámbrica con FM Radio, TWS, USB/TF, Graves Potentes para Hogar y Exteriores</t>
        </is>
      </c>
      <c r="H283" s="16" t="inlineStr">
        <is>
          <t>NEGRO</t>
        </is>
      </c>
      <c r="I283" s="16" t="n">
        <v>1</v>
      </c>
      <c r="J283" s="17" t="n">
        <v>81.95999999999999</v>
      </c>
      <c r="K283" s="17" t="n">
        <v>92.53</v>
      </c>
      <c r="L283" s="17" t="n">
        <v>25.86</v>
      </c>
      <c r="M283" s="17" t="n">
        <v>0</v>
      </c>
      <c r="N283" s="17">
        <f>K283*0.08+L283*0.08</f>
        <v/>
      </c>
      <c r="O283" s="17">
        <f>-(K283*0.025+L283*0.025)</f>
        <v/>
      </c>
      <c r="P283" s="17">
        <f>32</f>
        <v/>
      </c>
      <c r="Q283" s="17">
        <f>J283+L283+N283+O283-P283-M283</f>
        <v/>
      </c>
    </row>
    <row r="284">
      <c r="A284" s="16" t="inlineStr">
        <is>
          <t>5.22-5.28</t>
        </is>
      </c>
      <c r="B284" s="16" t="inlineStr">
        <is>
          <t>PO-128-17419295524472061</t>
        </is>
      </c>
      <c r="C284" s="16" t="inlineStr">
        <is>
          <t>Shipped</t>
        </is>
      </c>
      <c r="D284" s="16" t="inlineStr">
        <is>
          <t>128-17419431839352061</t>
        </is>
      </c>
      <c r="E284" s="16" t="inlineStr">
        <is>
          <t>Shipped</t>
        </is>
      </c>
      <c r="F284" s="16" t="inlineStr">
        <is>
          <t>SA315TY</t>
        </is>
      </c>
      <c r="G284" s="16" t="inlineStr">
        <is>
          <t>Altavoz inalámbrico portátil con Luces RGB, Radio FM y Manija - 5h Duración, TWS, TF Card, Compacto y Recargable via USB，Perfecto para viajes, fiestas y gaming</t>
        </is>
      </c>
      <c r="H284" s="16" t="inlineStr">
        <is>
          <t>AMARILLO-LK</t>
        </is>
      </c>
      <c r="I284" s="16" t="n">
        <v>1</v>
      </c>
      <c r="J284" s="17" t="n">
        <v>49</v>
      </c>
      <c r="K284" s="17" t="n">
        <v>14.4</v>
      </c>
      <c r="L284" s="17" t="n">
        <v>25.86</v>
      </c>
      <c r="M284" s="17" t="n">
        <v>0</v>
      </c>
      <c r="N284" s="17">
        <f>K284*0.08+L284*0.08</f>
        <v/>
      </c>
      <c r="O284" s="17">
        <f>-(K284*0.025+L284*0.025)</f>
        <v/>
      </c>
      <c r="P284" s="17">
        <f>32</f>
        <v/>
      </c>
      <c r="Q284" s="17">
        <f>J284+L284+N284+O284-P284-M284</f>
        <v/>
      </c>
    </row>
    <row r="285">
      <c r="A285" s="16" t="inlineStr">
        <is>
          <t>5.22-5.28</t>
        </is>
      </c>
      <c r="B285" s="16" t="inlineStr">
        <is>
          <t>PO-128-17206700513913329</t>
        </is>
      </c>
      <c r="C285" s="16" t="inlineStr">
        <is>
          <t>Shipped</t>
        </is>
      </c>
      <c r="D285" s="16" t="inlineStr">
        <is>
          <t>128-17206658570873329</t>
        </is>
      </c>
      <c r="E285" s="16" t="inlineStr">
        <is>
          <t>Shipped</t>
        </is>
      </c>
      <c r="F285" s="16" t="inlineStr">
        <is>
          <t>A500-R</t>
        </is>
      </c>
      <c r="G285" s="16" t="inlineStr">
        <is>
          <t>Bocina Bluetooth Portátil Barra de Sonido, Inalámbrica con FM Radio, TWS, USB/TF, Graves Potentes para Hogar y Exteriores</t>
        </is>
      </c>
      <c r="H285" s="16" t="inlineStr">
        <is>
          <t>ROIO</t>
        </is>
      </c>
      <c r="I285" s="16" t="n">
        <v>1</v>
      </c>
      <c r="J285" s="17" t="n">
        <v>80</v>
      </c>
      <c r="K285" s="17" t="n">
        <v>69.75</v>
      </c>
      <c r="L285" s="17" t="n">
        <v>25.86</v>
      </c>
      <c r="M285" s="17" t="n">
        <v>0</v>
      </c>
      <c r="N285" s="17">
        <f>K285*0.08+L285*0.08</f>
        <v/>
      </c>
      <c r="O285" s="17">
        <f>-(K285*0.025+L285*0.025)</f>
        <v/>
      </c>
      <c r="P285" s="17">
        <f>32</f>
        <v/>
      </c>
      <c r="Q285" s="17">
        <f>J285+L285+N285+O285-P285-M285</f>
        <v/>
      </c>
    </row>
    <row r="286">
      <c r="A286" s="16" t="inlineStr">
        <is>
          <t>5.22-5.28</t>
        </is>
      </c>
      <c r="B286" s="16" t="inlineStr">
        <is>
          <t>PO-128-17482668918392706</t>
        </is>
      </c>
      <c r="C286" s="16" t="inlineStr">
        <is>
          <t>Shipped</t>
        </is>
      </c>
      <c r="D286" s="16" t="inlineStr">
        <is>
          <t>128-17482679404152706</t>
        </is>
      </c>
      <c r="E286" s="16" t="inlineStr">
        <is>
          <t>Shipped</t>
        </is>
      </c>
      <c r="F286" s="16" t="inlineStr">
        <is>
          <t>A500-N</t>
        </is>
      </c>
      <c r="G286" s="16" t="inlineStr">
        <is>
          <t>Bocina Bluetooth Portátil Barra de Sonido, Inalámbrica con FM Radio, TWS, USB/TF, Graves Potentes para Hogar y Exteriores</t>
        </is>
      </c>
      <c r="H286" s="16" t="inlineStr">
        <is>
          <t>NEGRO</t>
        </is>
      </c>
      <c r="I286" s="16" t="n">
        <v>1</v>
      </c>
      <c r="J286" s="17" t="n">
        <v>81.95999999999999</v>
      </c>
      <c r="K286" s="17" t="n">
        <v>89.3</v>
      </c>
      <c r="L286" s="17" t="n">
        <v>25.86</v>
      </c>
      <c r="M286" s="17" t="n">
        <v>0</v>
      </c>
      <c r="N286" s="17">
        <f>K286*0.08+L286*0.08</f>
        <v/>
      </c>
      <c r="O286" s="17">
        <f>-(K286*0.025+L286*0.025)</f>
        <v/>
      </c>
      <c r="P286" s="17">
        <f>32</f>
        <v/>
      </c>
      <c r="Q286" s="17">
        <f>J286+L286+N286+O286-P286-M286</f>
        <v/>
      </c>
    </row>
    <row r="287">
      <c r="A287" s="16" t="inlineStr">
        <is>
          <t>5.22-5.28</t>
        </is>
      </c>
      <c r="B287" s="16" t="inlineStr">
        <is>
          <t>PO-128-17461933327992831</t>
        </is>
      </c>
      <c r="C287" s="16" t="inlineStr">
        <is>
          <t>Shipped</t>
        </is>
      </c>
      <c r="D287" s="16" t="inlineStr">
        <is>
          <t>128-17461954299512831</t>
        </is>
      </c>
      <c r="E287" s="16" t="inlineStr">
        <is>
          <t>Shipped</t>
        </is>
      </c>
      <c r="F287" s="16" t="inlineStr">
        <is>
          <t>A500-N</t>
        </is>
      </c>
      <c r="G287" s="16" t="inlineStr">
        <is>
          <t>Bocina Bluetooth Portátil Barra de Sonido, Inalámbrica con FM Radio, TWS, USB/TF, Graves Potentes para Hogar y Exteriores</t>
        </is>
      </c>
      <c r="H287" s="16" t="inlineStr">
        <is>
          <t>NEGRO</t>
        </is>
      </c>
      <c r="I287" s="16" t="n">
        <v>1</v>
      </c>
      <c r="J287" s="17" t="n">
        <v>81.95999999999999</v>
      </c>
      <c r="K287" s="17" t="n">
        <v>89.3</v>
      </c>
      <c r="L287" s="17" t="n">
        <v>25.86</v>
      </c>
      <c r="M287" s="17" t="n">
        <v>0</v>
      </c>
      <c r="N287" s="17">
        <f>K287*0.08+L287*0.08</f>
        <v/>
      </c>
      <c r="O287" s="17">
        <f>-(K287*0.025+L287*0.025)</f>
        <v/>
      </c>
      <c r="P287" s="17">
        <f>32</f>
        <v/>
      </c>
      <c r="Q287" s="17">
        <f>J287+L287+N287+O287-P287-M287</f>
        <v/>
      </c>
    </row>
    <row r="288">
      <c r="A288" s="16" t="inlineStr">
        <is>
          <t>5.22-5.28</t>
        </is>
      </c>
      <c r="B288" s="16" t="inlineStr">
        <is>
          <t>PO-128-17195493509753523</t>
        </is>
      </c>
      <c r="C288" s="16" t="inlineStr">
        <is>
          <t>Shipped</t>
        </is>
      </c>
      <c r="D288" s="16" t="inlineStr">
        <is>
          <t>128-17195514481273523</t>
        </is>
      </c>
      <c r="E288" s="16" t="inlineStr">
        <is>
          <t>Shipped</t>
        </is>
      </c>
      <c r="F288" s="16" t="inlineStr">
        <is>
          <t>F025</t>
        </is>
      </c>
      <c r="G288" s="16" t="inlineStr">
        <is>
          <t>Sopladora Turbo Inalámbrica 130000 RPM - Aire Comprimido Eléctrico con Batería 8400mAh, Carga Rápida 2.5H, Ajuste Infinito de Velocidad, Kit Limpieza Multiuso para PC, Coche, Hogar y Exteriores</t>
        </is>
      </c>
      <c r="H288" s="16" t="inlineStr">
        <is>
          <t>Unidad Individual/1Pieza</t>
        </is>
      </c>
      <c r="I288" s="16" t="n">
        <v>2</v>
      </c>
      <c r="J288" s="17" t="n">
        <v>304</v>
      </c>
      <c r="K288" s="17" t="n">
        <v>311.74</v>
      </c>
      <c r="L288" s="17" t="n">
        <v>0</v>
      </c>
      <c r="M288" s="17" t="n">
        <v>0</v>
      </c>
      <c r="N288" s="17">
        <f>K288*0.08+L288*0.08</f>
        <v/>
      </c>
      <c r="O288" s="17">
        <f>-(K288*0.025+L288*0.025)</f>
        <v/>
      </c>
      <c r="P288" s="17">
        <f>32</f>
        <v/>
      </c>
      <c r="Q288" s="17">
        <f>J288+L288+N288+O288-P288-M288</f>
        <v/>
      </c>
    </row>
    <row r="289">
      <c r="A289" s="16" t="inlineStr">
        <is>
          <t>5.22-5.28</t>
        </is>
      </c>
      <c r="B289" s="16" t="inlineStr">
        <is>
          <t>PO-128-06705733192310447</t>
        </is>
      </c>
      <c r="C289" s="16" t="inlineStr">
        <is>
          <t>Shipped</t>
        </is>
      </c>
      <c r="D289" s="16" t="inlineStr">
        <is>
          <t>128-06705775135350447</t>
        </is>
      </c>
      <c r="E289" s="16" t="inlineStr">
        <is>
          <t>Shipped</t>
        </is>
      </c>
      <c r="F289" s="16" t="inlineStr">
        <is>
          <t>MB-185N</t>
        </is>
      </c>
      <c r="G289" s="16" t="inlineStr">
        <is>
          <t>Bocina Radio FM/Reproductor, Compatible con Tarjeta TF, USB, Bluetooth, Aplicable para celular, computadora, Ipad y consola</t>
        </is>
      </c>
      <c r="H289" s="16" t="inlineStr">
        <is>
          <t>NEGRO/MB-185</t>
        </is>
      </c>
      <c r="I289" s="16" t="n">
        <v>1</v>
      </c>
      <c r="J289" s="17" t="n">
        <v>66</v>
      </c>
      <c r="K289" s="17" t="n">
        <v>63.16</v>
      </c>
      <c r="L289" s="17" t="n">
        <v>25.86</v>
      </c>
      <c r="M289" s="17" t="n">
        <v>0</v>
      </c>
      <c r="N289" s="17">
        <f>K289*0.08+L289*0.08</f>
        <v/>
      </c>
      <c r="O289" s="17">
        <f>-(K289*0.025+L289*0.025)</f>
        <v/>
      </c>
      <c r="P289" s="17">
        <f>32</f>
        <v/>
      </c>
      <c r="Q289" s="17">
        <f>J289+L289+N289+O289-P289-M289</f>
        <v/>
      </c>
    </row>
    <row r="290">
      <c r="A290" s="16" t="inlineStr">
        <is>
          <t>5.22-5.28</t>
        </is>
      </c>
      <c r="B290" s="16" t="inlineStr">
        <is>
          <t>PO-128-06783385487990110</t>
        </is>
      </c>
      <c r="C290" s="16" t="inlineStr">
        <is>
          <t>Shipped</t>
        </is>
      </c>
      <c r="D290" s="16" t="inlineStr">
        <is>
          <t>128-06783406459510110</t>
        </is>
      </c>
      <c r="E290" s="16" t="inlineStr">
        <is>
          <t>Shipped</t>
        </is>
      </c>
      <c r="F290" s="16" t="inlineStr">
        <is>
          <t>A500-A</t>
        </is>
      </c>
      <c r="G290" s="16" t="inlineStr">
        <is>
          <t>Bocina Bluetooth Portátil Barra de Sonido, Inalámbrica con FM Radio, TWS, USB/TF, Graves Potentes para Hogar y Exteriores</t>
        </is>
      </c>
      <c r="H290" s="16" t="inlineStr">
        <is>
          <t>AZUL</t>
        </is>
      </c>
      <c r="I290" s="16" t="n">
        <v>1</v>
      </c>
      <c r="J290" s="17" t="n">
        <v>72</v>
      </c>
      <c r="K290" s="17" t="n">
        <v>78.53</v>
      </c>
      <c r="L290" s="17" t="n">
        <v>25.86</v>
      </c>
      <c r="M290" s="17" t="n">
        <v>0</v>
      </c>
      <c r="N290" s="17">
        <f>K290*0.08+L290*0.08</f>
        <v/>
      </c>
      <c r="O290" s="17">
        <f>-(K290*0.025+L290*0.025)</f>
        <v/>
      </c>
      <c r="P290" s="17">
        <f>32</f>
        <v/>
      </c>
      <c r="Q290" s="17">
        <f>J290+L290+N290+O290-P290-M290</f>
        <v/>
      </c>
    </row>
    <row r="291">
      <c r="A291" s="16" t="inlineStr">
        <is>
          <t>5.22-5.28</t>
        </is>
      </c>
      <c r="B291" s="16" t="inlineStr">
        <is>
          <t>PO-128-06199982121593524</t>
        </is>
      </c>
      <c r="C291" s="16" t="inlineStr">
        <is>
          <t>Shipped</t>
        </is>
      </c>
      <c r="D291" s="16" t="inlineStr">
        <is>
          <t>128-06199940178553524</t>
        </is>
      </c>
      <c r="E291" s="16" t="inlineStr">
        <is>
          <t>Shipped</t>
        </is>
      </c>
      <c r="F291" s="16" t="inlineStr">
        <is>
          <t>MB-184N</t>
        </is>
      </c>
      <c r="G291" s="16" t="inlineStr">
        <is>
          <t>Linkbits Portable Bluetooth Speaker - 800W Peak Power, 50W Full-Range Audio with Dual Bass System &amp; Deep Bass Membranes, Powerful &amp; Distortion-Free Sound, IP65 Waterproof Dustproof, TWS Support &amp; 6H Battery for Outdoor/Party</t>
        </is>
      </c>
      <c r="H291" s="16" t="inlineStr">
        <is>
          <t>NEGRO/MB-184</t>
        </is>
      </c>
      <c r="I291" s="16" t="n">
        <v>1</v>
      </c>
      <c r="J291" s="17" t="n">
        <v>588</v>
      </c>
      <c r="K291" s="17" t="n">
        <v>697.61</v>
      </c>
      <c r="L291" s="17" t="n">
        <v>0</v>
      </c>
      <c r="M291" s="17" t="n">
        <v>0</v>
      </c>
      <c r="N291" s="17">
        <f>K291*0.08+L291*0.08</f>
        <v/>
      </c>
      <c r="O291" s="17">
        <f>-(K291*0.025+L291*0.025)</f>
        <v/>
      </c>
      <c r="P291" s="17">
        <f>32</f>
        <v/>
      </c>
      <c r="Q291" s="17">
        <f>J291+L291+N291+O291-P291-M291</f>
        <v/>
      </c>
    </row>
    <row r="292">
      <c r="A292" s="16" t="inlineStr">
        <is>
          <t>5.22-5.28</t>
        </is>
      </c>
      <c r="B292" s="16" t="inlineStr">
        <is>
          <t>PO-128-11775503957114021</t>
        </is>
      </c>
      <c r="C292" s="16" t="inlineStr">
        <is>
          <t>Shipped</t>
        </is>
      </c>
      <c r="D292" s="16" t="inlineStr">
        <is>
          <t>128-11775467256954021</t>
        </is>
      </c>
      <c r="E292" s="16" t="inlineStr">
        <is>
          <t>Shipped</t>
        </is>
      </c>
      <c r="F292" s="16" t="inlineStr">
        <is>
          <t>SA320T-V</t>
        </is>
      </c>
      <c r="G292" s="16" t="inlineStr">
        <is>
          <t>Altavoz inalámbrico portátil con Luces RGB, Radio FM y Manija - 5h Duración, TWS, TF Card, Compacto y Recargable via USB，Perfecto para viajes, fiestas y gaming</t>
        </is>
      </c>
      <c r="H292" s="16" t="inlineStr">
        <is>
          <t>verde</t>
        </is>
      </c>
      <c r="I292" s="16" t="n">
        <v>3</v>
      </c>
      <c r="J292" s="17" t="n">
        <v>144</v>
      </c>
      <c r="K292" s="17" t="n">
        <v>176.16</v>
      </c>
      <c r="L292" s="17" t="n">
        <v>25.86</v>
      </c>
      <c r="M292" s="17" t="n">
        <v>0</v>
      </c>
      <c r="N292" s="17">
        <f>K292*0.08+L292*0.08</f>
        <v/>
      </c>
      <c r="O292" s="17">
        <f>-(K292*0.025+L292*0.025)</f>
        <v/>
      </c>
      <c r="P292" s="17">
        <f>32</f>
        <v/>
      </c>
      <c r="Q292" s="17">
        <f>J292+L292+N292+O292-P292-M292</f>
        <v/>
      </c>
    </row>
    <row r="293">
      <c r="A293" s="16" t="inlineStr">
        <is>
          <t>5.22-5.28</t>
        </is>
      </c>
      <c r="B293" s="16" t="inlineStr">
        <is>
          <t>PO-128-01028773765752669</t>
        </is>
      </c>
      <c r="C293" s="16" t="inlineStr">
        <is>
          <t>Shipped</t>
        </is>
      </c>
      <c r="D293" s="16" t="inlineStr">
        <is>
          <t>128-01028731822712669</t>
        </is>
      </c>
      <c r="E293" s="16" t="inlineStr">
        <is>
          <t>Shipped</t>
        </is>
      </c>
      <c r="F293" s="16" t="inlineStr">
        <is>
          <t>SA320T-V</t>
        </is>
      </c>
      <c r="G293" s="16" t="inlineStr">
        <is>
          <t>Altavoz inalámbrico portátil con Luces RGB, Radio FM y Manija - 5h Duración, TWS, TF Card, Compacto y Recargable via USB，Perfecto para viajes, fiestas y gaming</t>
        </is>
      </c>
      <c r="H293" s="16" t="inlineStr">
        <is>
          <t>verde</t>
        </is>
      </c>
      <c r="I293" s="16" t="n">
        <v>2</v>
      </c>
      <c r="J293" s="17" t="n">
        <v>96</v>
      </c>
      <c r="K293" s="17" t="n">
        <v>117.44</v>
      </c>
      <c r="L293" s="17" t="n">
        <v>25.86</v>
      </c>
      <c r="M293" s="17" t="n">
        <v>0</v>
      </c>
      <c r="N293" s="17">
        <f>K293*0.08+L293*0.08</f>
        <v/>
      </c>
      <c r="O293" s="17">
        <f>-(K293*0.025+L293*0.025)</f>
        <v/>
      </c>
      <c r="P293" s="17">
        <f>32</f>
        <v/>
      </c>
      <c r="Q293" s="17">
        <f>J293+L293+N293+O293-P293-M293</f>
        <v/>
      </c>
    </row>
    <row r="294">
      <c r="A294" s="16" t="inlineStr">
        <is>
          <t>5.22-5.28</t>
        </is>
      </c>
      <c r="B294" s="16" t="inlineStr">
        <is>
          <t>PO-128-01359535396470569</t>
        </is>
      </c>
      <c r="C294" s="16" t="inlineStr">
        <is>
          <t>Shipped</t>
        </is>
      </c>
      <c r="D294" s="16" t="inlineStr">
        <is>
          <t>128-01359577339510569</t>
        </is>
      </c>
      <c r="E294" s="16" t="inlineStr">
        <is>
          <t>Shipped</t>
        </is>
      </c>
      <c r="F294" s="16" t="inlineStr">
        <is>
          <t>A500-A</t>
        </is>
      </c>
      <c r="G294" s="16" t="inlineStr">
        <is>
          <t>Bocina Bluetooth Portátil Barra de Sonido, Inalámbrica con FM Radio, TWS, USB/TF, Graves Potentes para Hogar y Exteriores</t>
        </is>
      </c>
      <c r="H294" s="16" t="inlineStr">
        <is>
          <t>AZUL</t>
        </is>
      </c>
      <c r="I294" s="16" t="n">
        <v>1</v>
      </c>
      <c r="J294" s="17" t="n">
        <v>72</v>
      </c>
      <c r="K294" s="17" t="n">
        <v>78.53</v>
      </c>
      <c r="L294" s="17" t="n">
        <v>25.86</v>
      </c>
      <c r="M294" s="17" t="n">
        <v>0</v>
      </c>
      <c r="N294" s="17">
        <f>K294*0.08+L294*0.08</f>
        <v/>
      </c>
      <c r="O294" s="17">
        <f>-(K294*0.025+L294*0.025)</f>
        <v/>
      </c>
      <c r="P294" s="17">
        <f>32</f>
        <v/>
      </c>
      <c r="Q294" s="17">
        <f>J294+L294+N294+O294-P294-M294</f>
        <v/>
      </c>
    </row>
    <row r="295">
      <c r="A295" s="16" t="inlineStr">
        <is>
          <t>5.22-5.28</t>
        </is>
      </c>
      <c r="B295" s="16" t="inlineStr">
        <is>
          <t>PO-128-05125145234552762</t>
        </is>
      </c>
      <c r="C295" s="16" t="inlineStr">
        <is>
          <t>Delivered</t>
        </is>
      </c>
      <c r="D295" s="16" t="inlineStr">
        <is>
          <t>128-05125250092152762</t>
        </is>
      </c>
      <c r="E295" s="16" t="inlineStr">
        <is>
          <t>Delivered</t>
        </is>
      </c>
      <c r="F295" s="16" t="inlineStr">
        <is>
          <t>SA315TA</t>
        </is>
      </c>
      <c r="G295" s="16" t="inlineStr">
        <is>
          <t>Altavoz inalámbrico portátil con Luces RGB, Radio FM y Manija - 5h Duración, TWS, TF Card, Compacto y Recargable via USB，Perfecto para viajes, fiestas y gaming</t>
        </is>
      </c>
      <c r="H295" s="16" t="inlineStr">
        <is>
          <t>AZUL-LK</t>
        </is>
      </c>
      <c r="I295" s="16" t="n">
        <v>1</v>
      </c>
      <c r="J295" s="17" t="n">
        <v>49</v>
      </c>
      <c r="K295" s="17" t="n">
        <v>4.05</v>
      </c>
      <c r="L295" s="17" t="n">
        <v>25.86</v>
      </c>
      <c r="M295" s="17" t="n">
        <v>0</v>
      </c>
      <c r="N295" s="17">
        <f>K295*0.08+L295*0.08</f>
        <v/>
      </c>
      <c r="O295" s="17">
        <f>-(K295*0.025+L295*0.025)</f>
        <v/>
      </c>
      <c r="P295" s="17">
        <f>32</f>
        <v/>
      </c>
      <c r="Q295" s="17">
        <f>J295+L295+N295+O295-P295-M295</f>
        <v/>
      </c>
    </row>
    <row r="296">
      <c r="A296" s="16" t="inlineStr">
        <is>
          <t>5.22-5.28</t>
        </is>
      </c>
      <c r="B296" s="16" t="inlineStr">
        <is>
          <t>PO-128-05227397018231067</t>
        </is>
      </c>
      <c r="C296" s="16" t="inlineStr">
        <is>
          <t>Delivered</t>
        </is>
      </c>
      <c r="D296" s="16" t="inlineStr">
        <is>
          <t>128-05227417989751067</t>
        </is>
      </c>
      <c r="E296" s="16" t="inlineStr">
        <is>
          <t>Delivered</t>
        </is>
      </c>
      <c r="F296" s="16" t="inlineStr">
        <is>
          <t>SA315TA</t>
        </is>
      </c>
      <c r="G296" s="16" t="inlineStr">
        <is>
          <t>Altavoz inalámbrico portátil con Luces RGB, Radio FM y Manija - 5h Duración, TWS, TF Card, Compacto y Recargable via USB，Perfecto para viajes, fiestas y gaming</t>
        </is>
      </c>
      <c r="H296" s="16" t="inlineStr">
        <is>
          <t>AZUL-LK</t>
        </is>
      </c>
      <c r="I296" s="16" t="n">
        <v>1</v>
      </c>
      <c r="J296" s="17" t="n">
        <v>49</v>
      </c>
      <c r="K296" s="17" t="n">
        <v>57.5</v>
      </c>
      <c r="L296" s="17" t="n">
        <v>25.86</v>
      </c>
      <c r="M296" s="17" t="n">
        <v>0</v>
      </c>
      <c r="N296" s="17">
        <f>K296*0.08+L296*0.08</f>
        <v/>
      </c>
      <c r="O296" s="17">
        <f>-(K296*0.025+L296*0.025)</f>
        <v/>
      </c>
      <c r="P296" s="17">
        <f>32</f>
        <v/>
      </c>
      <c r="Q296" s="17">
        <f>J296+L296+N296+O296-P296-M296</f>
        <v/>
      </c>
    </row>
    <row r="297">
      <c r="A297" s="16" t="inlineStr">
        <is>
          <t>5.22-5.28</t>
        </is>
      </c>
      <c r="B297" s="16" t="inlineStr">
        <is>
          <t>PO-128-05314480911991570</t>
        </is>
      </c>
      <c r="C297" s="16" t="inlineStr">
        <is>
          <t>Delivered</t>
        </is>
      </c>
      <c r="D297" s="16" t="inlineStr">
        <is>
          <t>128-05314514990711570</t>
        </is>
      </c>
      <c r="E297" s="16" t="inlineStr">
        <is>
          <t>Delivered</t>
        </is>
      </c>
      <c r="F297" s="16" t="inlineStr">
        <is>
          <t>F025</t>
        </is>
      </c>
      <c r="G297" s="16" t="inlineStr">
        <is>
          <t>Sopladora Turbo Inalámbrica 130000 RPM - Aire Comprimido Eléctrico con Batería 8400mAh, Carga Rápida 2.5H, Ajuste Infinito de Velocidad, Kit Limpieza Multiuso para PC, Coche, Hogar y Exteriores</t>
        </is>
      </c>
      <c r="H297" s="16" t="inlineStr">
        <is>
          <t>Unidad Individual/1Pieza</t>
        </is>
      </c>
      <c r="I297" s="16" t="n">
        <v>1</v>
      </c>
      <c r="J297" s="17" t="n">
        <v>152</v>
      </c>
      <c r="K297" s="17" t="n">
        <v>174.9</v>
      </c>
      <c r="L297" s="17" t="n">
        <v>25.86</v>
      </c>
      <c r="M297" s="17" t="n">
        <v>0</v>
      </c>
      <c r="N297" s="17">
        <f>K297*0.08+L297*0.08</f>
        <v/>
      </c>
      <c r="O297" s="17">
        <f>-(K297*0.025+L297*0.025)</f>
        <v/>
      </c>
      <c r="P297" s="17">
        <f>32</f>
        <v/>
      </c>
      <c r="Q297" s="17">
        <f>J297+L297+N297+O297-P297-M297</f>
        <v/>
      </c>
    </row>
    <row r="298">
      <c r="A298" s="16" t="inlineStr">
        <is>
          <t>5.22-5.28</t>
        </is>
      </c>
      <c r="B298" s="16" t="inlineStr">
        <is>
          <t>PO-128-04972384282233675</t>
        </is>
      </c>
      <c r="C298" s="16" t="inlineStr">
        <is>
          <t>Delivered</t>
        </is>
      </c>
      <c r="D298" s="16" t="inlineStr">
        <is>
          <t>128-04972321367673675</t>
        </is>
      </c>
      <c r="E298" s="16" t="inlineStr">
        <is>
          <t>Delivered</t>
        </is>
      </c>
      <c r="F298" s="16" t="inlineStr">
        <is>
          <t>F025</t>
        </is>
      </c>
      <c r="G298" s="16" t="inlineStr">
        <is>
          <t>Sopladora Turbo Inalámbrica 130000 RPM - Aire Comprimido Eléctrico con Batería 8400mAh, Carga Rápida 2.5H, Ajuste Infinito de Velocidad, Kit Limpieza Multiuso para PC, Coche, Hogar y Exteriores</t>
        </is>
      </c>
      <c r="H298" s="16" t="inlineStr">
        <is>
          <t>Unidad Individual/1Pieza</t>
        </is>
      </c>
      <c r="I298" s="16" t="n">
        <v>5</v>
      </c>
      <c r="J298" s="17" t="n">
        <v>760</v>
      </c>
      <c r="K298" s="17" t="n">
        <v>874.5</v>
      </c>
      <c r="L298" s="17" t="n">
        <v>0</v>
      </c>
      <c r="M298" s="17" t="n">
        <v>0</v>
      </c>
      <c r="N298" s="17">
        <f>K298*0.08+L298*0.08</f>
        <v/>
      </c>
      <c r="O298" s="17">
        <f>-(K298*0.025+L298*0.025)</f>
        <v/>
      </c>
      <c r="P298" s="17">
        <f>32</f>
        <v/>
      </c>
      <c r="Q298" s="17">
        <f>J298+L298+N298+O298-P298-M298</f>
        <v/>
      </c>
    </row>
    <row r="299">
      <c r="A299" s="16" t="inlineStr">
        <is>
          <t>5.22-5.28</t>
        </is>
      </c>
      <c r="B299" s="16" t="inlineStr">
        <is>
          <t>PO-128-05096136274552873</t>
        </is>
      </c>
      <c r="C299" s="16" t="inlineStr">
        <is>
          <t>Delivered</t>
        </is>
      </c>
      <c r="D299" s="16" t="inlineStr">
        <is>
          <t>128-05096178217592873</t>
        </is>
      </c>
      <c r="E299" s="16" t="inlineStr">
        <is>
          <t>Delivered</t>
        </is>
      </c>
      <c r="F299" s="16" t="inlineStr">
        <is>
          <t>MB-183N</t>
        </is>
      </c>
      <c r="G299" s="16" t="inlineStr">
        <is>
          <t>Linkbits Altavoz Bluetooth Portátil con Stereo Inalámbrico TWS Impermeable y a Prueba de Polvo IP65 Altavoz de Graves de Rango Completo de 52mm con Doble Unidad Ligero de 215g para Camping Senderismo y Fiestas al Aire Libre</t>
        </is>
      </c>
      <c r="H299" s="16" t="inlineStr">
        <is>
          <t>NEGRO/MB-183</t>
        </is>
      </c>
      <c r="I299" s="16" t="n">
        <v>1</v>
      </c>
      <c r="J299" s="17" t="n">
        <v>95</v>
      </c>
      <c r="K299" s="17" t="n">
        <v>101.15</v>
      </c>
      <c r="L299" s="17" t="n">
        <v>25.86</v>
      </c>
      <c r="M299" s="17" t="n">
        <v>0</v>
      </c>
      <c r="N299" s="17">
        <f>K299*0.08+L299*0.08</f>
        <v/>
      </c>
      <c r="O299" s="17">
        <f>-(K299*0.025+L299*0.025)</f>
        <v/>
      </c>
      <c r="P299" s="17">
        <f>32</f>
        <v/>
      </c>
      <c r="Q299" s="17">
        <f>J299+L299+N299+O299-P299-M299</f>
        <v/>
      </c>
    </row>
    <row r="300">
      <c r="A300" s="16" t="inlineStr">
        <is>
          <t>5.22-5.28</t>
        </is>
      </c>
      <c r="B300" s="16" t="inlineStr">
        <is>
          <t>PO-128-17479151706232921</t>
        </is>
      </c>
      <c r="C300" s="16" t="inlineStr">
        <is>
          <t>Delivered</t>
        </is>
      </c>
      <c r="D300" s="16" t="inlineStr">
        <is>
          <t>128-17479109763192921</t>
        </is>
      </c>
      <c r="E300" s="16" t="inlineStr">
        <is>
          <t>Delivered</t>
        </is>
      </c>
      <c r="F300" s="16" t="inlineStr">
        <is>
          <t>SA315TA</t>
        </is>
      </c>
      <c r="G300" s="16" t="inlineStr">
        <is>
          <t>Altavoz inalámbrico portátil con Luces RGB, Radio FM y Manija - 5h Duración, TWS, TF Card, Compacto y Recargable via USB，Perfecto para viajes, fiestas y gaming</t>
        </is>
      </c>
      <c r="H300" s="16" t="inlineStr">
        <is>
          <t>AZUL-LK</t>
        </is>
      </c>
      <c r="I300" s="16" t="n">
        <v>1</v>
      </c>
      <c r="J300" s="17" t="n">
        <v>49</v>
      </c>
      <c r="K300" s="17" t="n">
        <v>14.4</v>
      </c>
      <c r="L300" s="17" t="n">
        <v>25.86</v>
      </c>
      <c r="M300" s="17" t="n">
        <v>0</v>
      </c>
      <c r="N300" s="17">
        <f>K300*0.08+L300*0.08</f>
        <v/>
      </c>
      <c r="O300" s="17">
        <f>-(K300*0.025+L300*0.025)</f>
        <v/>
      </c>
      <c r="P300" s="17">
        <f>32</f>
        <v/>
      </c>
      <c r="Q300" s="17">
        <f>J300+L300+N300+O300-P300-M300</f>
        <v/>
      </c>
    </row>
    <row r="301">
      <c r="A301" s="16" t="inlineStr">
        <is>
          <t>5.22-5.28</t>
        </is>
      </c>
      <c r="B301" s="16" t="inlineStr">
        <is>
          <t>PO-128-17559791053431350</t>
        </is>
      </c>
      <c r="C301" s="16" t="inlineStr">
        <is>
          <t>Delivered</t>
        </is>
      </c>
      <c r="D301" s="16" t="inlineStr">
        <is>
          <t>128-17559871007351350</t>
        </is>
      </c>
      <c r="E301" s="16" t="inlineStr">
        <is>
          <t>Delivered</t>
        </is>
      </c>
      <c r="F301" s="16" t="inlineStr">
        <is>
          <t>MB-185N</t>
        </is>
      </c>
      <c r="G301" s="16" t="inlineStr">
        <is>
          <t>Bocina Radio FM/Reproductor, Compatible con Tarjeta TF, USB, Bluetooth, Aplicable para celular, computadora, Ipad y consola</t>
        </is>
      </c>
      <c r="H301" s="16" t="inlineStr">
        <is>
          <t>NEGRO/MB-185</t>
        </is>
      </c>
      <c r="I301" s="16" t="n">
        <v>1</v>
      </c>
      <c r="J301" s="17" t="n">
        <v>85</v>
      </c>
      <c r="K301" s="17" t="n">
        <v>97.94</v>
      </c>
      <c r="L301" s="17" t="n">
        <v>25.86</v>
      </c>
      <c r="M301" s="17" t="n">
        <v>0</v>
      </c>
      <c r="N301" s="17">
        <f>K301*0.08+L301*0.08</f>
        <v/>
      </c>
      <c r="O301" s="17">
        <f>-(K301*0.025+L301*0.025)</f>
        <v/>
      </c>
      <c r="P301" s="17">
        <f>32</f>
        <v/>
      </c>
      <c r="Q301" s="17">
        <f>J301+L301+N301+O301-P301-M301</f>
        <v/>
      </c>
    </row>
    <row r="302">
      <c r="A302" s="16" t="inlineStr">
        <is>
          <t>5.22-5.28</t>
        </is>
      </c>
      <c r="B302" s="16" t="inlineStr">
        <is>
          <t>PO-128-17826764375670657</t>
        </is>
      </c>
      <c r="C302" s="16" t="inlineStr">
        <is>
          <t>Delivered</t>
        </is>
      </c>
      <c r="D302" s="16" t="inlineStr">
        <is>
          <t>128-17826722432630657</t>
        </is>
      </c>
      <c r="E302" s="16" t="inlineStr">
        <is>
          <t>Delivered</t>
        </is>
      </c>
      <c r="F302" s="16" t="inlineStr">
        <is>
          <t>A500-N</t>
        </is>
      </c>
      <c r="G302" s="16" t="inlineStr">
        <is>
          <t>Bocina Bluetooth Portátil Barra de Sonido, Inalámbrica con FM Radio, TWS, USB/TF, Graves Potentes para Hogar y Exteriores</t>
        </is>
      </c>
      <c r="H302" s="16" t="inlineStr">
        <is>
          <t>NEGRO</t>
        </is>
      </c>
      <c r="I302" s="16" t="n">
        <v>1</v>
      </c>
      <c r="J302" s="17" t="n">
        <v>81.95999999999999</v>
      </c>
      <c r="K302" s="17" t="n">
        <v>89.3</v>
      </c>
      <c r="L302" s="17" t="n">
        <v>25.86</v>
      </c>
      <c r="M302" s="17" t="n">
        <v>0</v>
      </c>
      <c r="N302" s="17">
        <f>K302*0.08+L302*0.08</f>
        <v/>
      </c>
      <c r="O302" s="17">
        <f>-(K302*0.025+L302*0.025)</f>
        <v/>
      </c>
      <c r="P302" s="17">
        <f>32</f>
        <v/>
      </c>
      <c r="Q302" s="17">
        <f>J302+L302+N302+O302-P302-M302</f>
        <v/>
      </c>
    </row>
    <row r="303">
      <c r="A303" s="16" t="inlineStr">
        <is>
          <t>5.22-5.28</t>
        </is>
      </c>
      <c r="B303" s="16" t="inlineStr">
        <is>
          <t>PO-128-17695174508151633</t>
        </is>
      </c>
      <c r="C303" s="16" t="inlineStr">
        <is>
          <t>Delivered</t>
        </is>
      </c>
      <c r="D303" s="16" t="inlineStr">
        <is>
          <t>128-17695153536631633</t>
        </is>
      </c>
      <c r="E303" s="16" t="inlineStr">
        <is>
          <t>Delivered</t>
        </is>
      </c>
      <c r="F303" s="16" t="inlineStr">
        <is>
          <t>A500-N</t>
        </is>
      </c>
      <c r="G303" s="16" t="inlineStr">
        <is>
          <t>Bocina Bluetooth Portátil Barra de Sonido, Inalámbrica con FM Radio, TWS, USB/TF, Graves Potentes para Hogar y Exteriores</t>
        </is>
      </c>
      <c r="H303" s="16" t="inlineStr">
        <is>
          <t>NEGRO</t>
        </is>
      </c>
      <c r="I303" s="16" t="n">
        <v>1</v>
      </c>
      <c r="J303" s="17" t="n">
        <v>81.95999999999999</v>
      </c>
      <c r="K303" s="17" t="n">
        <v>89.3</v>
      </c>
      <c r="L303" s="17" t="n">
        <v>25.86</v>
      </c>
      <c r="M303" s="17" t="n">
        <v>0</v>
      </c>
      <c r="N303" s="17">
        <f>K303*0.08+L303*0.08</f>
        <v/>
      </c>
      <c r="O303" s="17">
        <f>-(K303*0.025+L303*0.025)</f>
        <v/>
      </c>
      <c r="P303" s="17">
        <f>32</f>
        <v/>
      </c>
      <c r="Q303" s="17">
        <f>J303+L303+N303+O303-P303-M303</f>
        <v/>
      </c>
    </row>
    <row r="304">
      <c r="A304" s="16" t="inlineStr">
        <is>
          <t>5.22-5.28</t>
        </is>
      </c>
      <c r="B304" s="16" t="inlineStr">
        <is>
          <t>PO-128-17468408003192857</t>
        </is>
      </c>
      <c r="C304" s="16" t="inlineStr">
        <is>
          <t>Delivered</t>
        </is>
      </c>
      <c r="D304" s="16" t="inlineStr">
        <is>
          <t>128-17468366060152857</t>
        </is>
      </c>
      <c r="E304" s="16" t="inlineStr">
        <is>
          <t>Delivered</t>
        </is>
      </c>
      <c r="F304" s="16" t="inlineStr">
        <is>
          <t>A500-R</t>
        </is>
      </c>
      <c r="G304" s="16" t="inlineStr">
        <is>
          <t>Bocina Bluetooth Portátil Barra de Sonido, Inalámbrica con FM Radio, TWS, USB/TF, Graves Potentes para Hogar y Exteriores</t>
        </is>
      </c>
      <c r="H304" s="16" t="inlineStr">
        <is>
          <t>ROIO</t>
        </is>
      </c>
      <c r="I304" s="16" t="n">
        <v>1</v>
      </c>
      <c r="J304" s="17" t="n">
        <v>80</v>
      </c>
      <c r="K304" s="17" t="n">
        <v>87.18000000000001</v>
      </c>
      <c r="L304" s="17" t="n">
        <v>25.86</v>
      </c>
      <c r="M304" s="17" t="n">
        <v>0</v>
      </c>
      <c r="N304" s="17">
        <f>K304*0.08+L304*0.08</f>
        <v/>
      </c>
      <c r="O304" s="17">
        <f>-(K304*0.025+L304*0.025)</f>
        <v/>
      </c>
      <c r="P304" s="17">
        <f>32</f>
        <v/>
      </c>
      <c r="Q304" s="17">
        <f>J304+L304+N304+O304-P304-M304</f>
        <v/>
      </c>
    </row>
    <row r="305">
      <c r="A305" s="16" t="inlineStr">
        <is>
          <t>5.22-5.28</t>
        </is>
      </c>
      <c r="B305" s="16" t="inlineStr">
        <is>
          <t>PO-128-06528444703351438</t>
        </is>
      </c>
      <c r="C305" s="16" t="inlineStr">
        <is>
          <t>Delivered</t>
        </is>
      </c>
      <c r="D305" s="16" t="inlineStr">
        <is>
          <t>128-06528392274551438</t>
        </is>
      </c>
      <c r="E305" s="16" t="inlineStr">
        <is>
          <t>Delivered</t>
        </is>
      </c>
      <c r="F305" s="16" t="inlineStr">
        <is>
          <t>A500-N</t>
        </is>
      </c>
      <c r="G305" s="16" t="inlineStr">
        <is>
          <t>Bocina Bluetooth Portátil Barra de Sonido, Inalámbrica con FM Radio, TWS, USB/TF, Graves Potentes para Hogar y Exteriores</t>
        </is>
      </c>
      <c r="H305" s="16" t="inlineStr">
        <is>
          <t>NEGRO</t>
        </is>
      </c>
      <c r="I305" s="16" t="n">
        <v>1</v>
      </c>
      <c r="J305" s="17" t="n">
        <v>81.95999999999999</v>
      </c>
      <c r="K305" s="17" t="n">
        <v>89.3</v>
      </c>
      <c r="L305" s="17" t="n">
        <v>25.86</v>
      </c>
      <c r="M305" s="17" t="n">
        <v>0</v>
      </c>
      <c r="N305" s="17">
        <f>K305*0.08+L305*0.08</f>
        <v/>
      </c>
      <c r="O305" s="17">
        <f>-(K305*0.025+L305*0.025)</f>
        <v/>
      </c>
      <c r="P305" s="17">
        <f>32</f>
        <v/>
      </c>
      <c r="Q305" s="17">
        <f>J305+L305+N305+O305-P305-M305</f>
        <v/>
      </c>
    </row>
    <row r="306">
      <c r="A306" s="16" t="inlineStr">
        <is>
          <t>5.22-5.28</t>
        </is>
      </c>
      <c r="B306" s="16" t="inlineStr">
        <is>
          <t>PO-128-06560905247351372</t>
        </is>
      </c>
      <c r="C306" s="16" t="inlineStr">
        <is>
          <t>Delivered</t>
        </is>
      </c>
      <c r="D306" s="16" t="inlineStr">
        <is>
          <t>128-06560901315191372</t>
        </is>
      </c>
      <c r="E306" s="16" t="inlineStr">
        <is>
          <t>Delivered</t>
        </is>
      </c>
      <c r="F306" s="16" t="inlineStr">
        <is>
          <t>F025</t>
        </is>
      </c>
      <c r="G306" s="16" t="inlineStr">
        <is>
          <t>Sopladora Turbo Inalámbrica 130000 RPM - Aire Comprimido Eléctrico con Batería 8400mAh, Carga Rápida 2.5H, Ajuste Infinito de Velocidad, Kit Limpieza Multiuso para PC, Coche, Hogar y Exteriores</t>
        </is>
      </c>
      <c r="H306" s="16" t="inlineStr">
        <is>
          <t>Unidad Individual/1Pieza</t>
        </is>
      </c>
      <c r="I306" s="16" t="n">
        <v>1</v>
      </c>
      <c r="J306" s="17" t="n">
        <v>152</v>
      </c>
      <c r="K306" s="17" t="n">
        <v>201.12</v>
      </c>
      <c r="L306" s="17" t="n">
        <v>25.86</v>
      </c>
      <c r="M306" s="17" t="n">
        <v>0</v>
      </c>
      <c r="N306" s="17">
        <f>K306*0.08+L306*0.08</f>
        <v/>
      </c>
      <c r="O306" s="17">
        <f>-(K306*0.025+L306*0.025)</f>
        <v/>
      </c>
      <c r="P306" s="17">
        <f>32</f>
        <v/>
      </c>
      <c r="Q306" s="17">
        <f>J306+L306+N306+O306-P306-M306</f>
        <v/>
      </c>
    </row>
    <row r="307">
      <c r="A307" s="16" t="inlineStr">
        <is>
          <t>5.22-5.28</t>
        </is>
      </c>
      <c r="B307" s="16" t="inlineStr">
        <is>
          <t>PO-128-06571097800311376</t>
        </is>
      </c>
      <c r="C307" s="16" t="inlineStr">
        <is>
          <t>Delivered</t>
        </is>
      </c>
      <c r="D307" s="16" t="inlineStr">
        <is>
          <t>128-06571124014711376</t>
        </is>
      </c>
      <c r="E307" s="16" t="inlineStr">
        <is>
          <t>Delivered</t>
        </is>
      </c>
      <c r="F307" s="16" t="inlineStr">
        <is>
          <t>A500-N</t>
        </is>
      </c>
      <c r="G307" s="16" t="inlineStr">
        <is>
          <t>Bocina Bluetooth Portátil Barra de Sonido, Inalámbrica con FM Radio, TWS, USB/TF, Graves Potentes para Hogar y Exteriores</t>
        </is>
      </c>
      <c r="H307" s="16" t="inlineStr">
        <is>
          <t>NEGRO</t>
        </is>
      </c>
      <c r="I307" s="16" t="n">
        <v>1</v>
      </c>
      <c r="J307" s="17" t="n">
        <v>81.95999999999999</v>
      </c>
      <c r="K307" s="17" t="n">
        <v>89.3</v>
      </c>
      <c r="L307" s="17" t="n">
        <v>25.86</v>
      </c>
      <c r="M307" s="17" t="n">
        <v>0</v>
      </c>
      <c r="N307" s="17">
        <f>K307*0.08+L307*0.08</f>
        <v/>
      </c>
      <c r="O307" s="17">
        <f>-(K307*0.025+L307*0.025)</f>
        <v/>
      </c>
      <c r="P307" s="17">
        <f>32</f>
        <v/>
      </c>
      <c r="Q307" s="17">
        <f>J307+L307+N307+O307-P307-M307</f>
        <v/>
      </c>
    </row>
    <row r="308">
      <c r="A308" s="16" t="inlineStr">
        <is>
          <t>5.22-5.28</t>
        </is>
      </c>
      <c r="B308" s="16" t="inlineStr">
        <is>
          <t>PO-128-06805257979511004</t>
        </is>
      </c>
      <c r="C308" s="16" t="inlineStr">
        <is>
          <t>Delivered</t>
        </is>
      </c>
      <c r="D308" s="16" t="inlineStr">
        <is>
          <t>128-06805278951031004</t>
        </is>
      </c>
      <c r="E308" s="16" t="inlineStr">
        <is>
          <t>Delivered</t>
        </is>
      </c>
      <c r="F308" s="16" t="inlineStr">
        <is>
          <t>A500-N</t>
        </is>
      </c>
      <c r="G308" s="16" t="inlineStr">
        <is>
          <t>Bocina Bluetooth Portátil Barra de Sonido, Inalámbrica con FM Radio, TWS, USB/TF, Graves Potentes para Hogar y Exteriores</t>
        </is>
      </c>
      <c r="H308" s="16" t="inlineStr">
        <is>
          <t>NEGRO</t>
        </is>
      </c>
      <c r="I308" s="16" t="n">
        <v>1</v>
      </c>
      <c r="J308" s="17" t="n">
        <v>81.95999999999999</v>
      </c>
      <c r="K308" s="17" t="n">
        <v>89.3</v>
      </c>
      <c r="L308" s="17" t="n">
        <v>25.86</v>
      </c>
      <c r="M308" s="17" t="n">
        <v>0</v>
      </c>
      <c r="N308" s="17">
        <f>K308*0.08+L308*0.08</f>
        <v/>
      </c>
      <c r="O308" s="17">
        <f>-(K308*0.025+L308*0.025)</f>
        <v/>
      </c>
      <c r="P308" s="17">
        <f>32</f>
        <v/>
      </c>
      <c r="Q308" s="17">
        <f>J308+L308+N308+O308-P308-M308</f>
        <v/>
      </c>
    </row>
    <row r="309">
      <c r="A309" s="16" t="inlineStr">
        <is>
          <t>5.22-5.28</t>
        </is>
      </c>
      <c r="B309" s="16" t="inlineStr">
        <is>
          <t>PO-128-06317253781113723</t>
        </is>
      </c>
      <c r="C309" s="16" t="inlineStr">
        <is>
          <t>Delivered</t>
        </is>
      </c>
      <c r="D309" s="16" t="inlineStr">
        <is>
          <t>128-06317287859833723</t>
        </is>
      </c>
      <c r="E309" s="16" t="inlineStr">
        <is>
          <t>Delivered</t>
        </is>
      </c>
      <c r="F309" s="16" t="inlineStr">
        <is>
          <t>A500-R</t>
        </is>
      </c>
      <c r="G309" s="16" t="inlineStr">
        <is>
          <t>Bocina Bluetooth Portátil Barra de Sonido, Inalámbrica con FM Radio, TWS, USB/TF, Graves Potentes para Hogar y Exteriores</t>
        </is>
      </c>
      <c r="H309" s="16" t="inlineStr">
        <is>
          <t>ROIO</t>
        </is>
      </c>
      <c r="I309" s="16" t="n">
        <v>1</v>
      </c>
      <c r="J309" s="17" t="n">
        <v>80</v>
      </c>
      <c r="K309" s="17" t="n">
        <v>87.18000000000001</v>
      </c>
      <c r="L309" s="17" t="n">
        <v>25.86</v>
      </c>
      <c r="M309" s="17" t="n">
        <v>0</v>
      </c>
      <c r="N309" s="17">
        <f>K309*0.08+L309*0.08</f>
        <v/>
      </c>
      <c r="O309" s="17">
        <f>-(K309*0.025+L309*0.025)</f>
        <v/>
      </c>
      <c r="P309" s="17">
        <f>32</f>
        <v/>
      </c>
      <c r="Q309" s="17">
        <f>J309+L309+N309+O309-P309-M309</f>
        <v/>
      </c>
    </row>
    <row r="310">
      <c r="A310" s="16" t="inlineStr">
        <is>
          <t>5.22-5.28</t>
        </is>
      </c>
      <c r="B310" s="16" t="inlineStr">
        <is>
          <t>PO-128-06444210821752964</t>
        </is>
      </c>
      <c r="C310" s="16" t="inlineStr">
        <is>
          <t>Delivered</t>
        </is>
      </c>
      <c r="D310" s="16" t="inlineStr">
        <is>
          <t>128-06444158392952964</t>
        </is>
      </c>
      <c r="E310" s="16" t="inlineStr">
        <is>
          <t>Delivered</t>
        </is>
      </c>
      <c r="F310" s="16" t="inlineStr">
        <is>
          <t>A500-N</t>
        </is>
      </c>
      <c r="G310" s="16" t="inlineStr">
        <is>
          <t>Bocina Bluetooth Portátil Barra de Sonido, Inalámbrica con FM Radio, TWS, USB/TF, Graves Potentes para Hogar y Exteriores</t>
        </is>
      </c>
      <c r="H310" s="16" t="inlineStr">
        <is>
          <t>NEGRO</t>
        </is>
      </c>
      <c r="I310" s="16" t="n">
        <v>1</v>
      </c>
      <c r="J310" s="17" t="n">
        <v>81.95999999999999</v>
      </c>
      <c r="K310" s="17" t="n">
        <v>59.78</v>
      </c>
      <c r="L310" s="17" t="n">
        <v>25.86</v>
      </c>
      <c r="M310" s="17" t="n">
        <v>0</v>
      </c>
      <c r="N310" s="17">
        <f>K310*0.08+L310*0.08</f>
        <v/>
      </c>
      <c r="O310" s="17">
        <f>-(K310*0.025+L310*0.025)</f>
        <v/>
      </c>
      <c r="P310" s="17">
        <f>32</f>
        <v/>
      </c>
      <c r="Q310" s="17">
        <f>J310+L310+N310+O310-P310-M310</f>
        <v/>
      </c>
    </row>
    <row r="311">
      <c r="A311" s="16" t="inlineStr">
        <is>
          <t>5.22-5.28</t>
        </is>
      </c>
      <c r="B311" s="16" t="inlineStr">
        <is>
          <t>PO-128-06795661338230935</t>
        </is>
      </c>
      <c r="C311" s="16" t="inlineStr">
        <is>
          <t>Delivered</t>
        </is>
      </c>
      <c r="D311" s="16" t="inlineStr">
        <is>
          <t>128-06795645609590935</t>
        </is>
      </c>
      <c r="E311" s="16" t="inlineStr">
        <is>
          <t>Delivered</t>
        </is>
      </c>
      <c r="F311" s="16" t="inlineStr">
        <is>
          <t>A500-N</t>
        </is>
      </c>
      <c r="G311" s="16" t="inlineStr">
        <is>
          <t>Bocina Bluetooth Portátil Barra de Sonido, Inalámbrica con FM Radio, TWS, USB/TF, Graves Potentes para Hogar y Exteriores</t>
        </is>
      </c>
      <c r="H311" s="16" t="inlineStr">
        <is>
          <t>NEGRO</t>
        </is>
      </c>
      <c r="I311" s="16" t="n">
        <v>1</v>
      </c>
      <c r="J311" s="17" t="n">
        <v>78</v>
      </c>
      <c r="K311" s="17" t="n">
        <v>69.20999999999999</v>
      </c>
      <c r="L311" s="17" t="n">
        <v>25.86</v>
      </c>
      <c r="M311" s="17" t="n">
        <v>0</v>
      </c>
      <c r="N311" s="17">
        <f>K311*0.08+L311*0.08</f>
        <v/>
      </c>
      <c r="O311" s="17">
        <f>-(K311*0.025+L311*0.025)</f>
        <v/>
      </c>
      <c r="P311" s="17">
        <f>32</f>
        <v/>
      </c>
      <c r="Q311" s="17">
        <f>J311+L311+N311+O311-P311-M311</f>
        <v/>
      </c>
    </row>
    <row r="312">
      <c r="A312" s="16" t="inlineStr">
        <is>
          <t>5.22-5.28</t>
        </is>
      </c>
      <c r="B312" s="16" t="inlineStr">
        <is>
          <t>PO-128-06825291827830887</t>
        </is>
      </c>
      <c r="C312" s="16" t="inlineStr">
        <is>
          <t>Delivered</t>
        </is>
      </c>
      <c r="D312" s="16" t="inlineStr">
        <is>
          <t>128-06825249884790887</t>
        </is>
      </c>
      <c r="E312" s="16" t="inlineStr">
        <is>
          <t>Delivered</t>
        </is>
      </c>
      <c r="F312" s="16" t="inlineStr">
        <is>
          <t>A500-N</t>
        </is>
      </c>
      <c r="G312" s="16" t="inlineStr">
        <is>
          <t>Bocina Bluetooth Portátil Barra de Sonido, Inalámbrica con FM Radio, TWS, USB/TF, Graves Potentes para Hogar y Exteriores</t>
        </is>
      </c>
      <c r="H312" s="16" t="inlineStr">
        <is>
          <t>NEGRO</t>
        </is>
      </c>
      <c r="I312" s="16" t="n">
        <v>4</v>
      </c>
      <c r="J312" s="17" t="n">
        <v>312</v>
      </c>
      <c r="K312" s="17" t="n">
        <v>340.12</v>
      </c>
      <c r="L312" s="17" t="n">
        <v>0</v>
      </c>
      <c r="M312" s="17" t="n">
        <v>0</v>
      </c>
      <c r="N312" s="17">
        <f>K312*0.08+L312*0.08</f>
        <v/>
      </c>
      <c r="O312" s="17">
        <f>-(K312*0.025+L312*0.025)</f>
        <v/>
      </c>
      <c r="P312" s="17">
        <f>32</f>
        <v/>
      </c>
      <c r="Q312" s="17">
        <f>J312+L312+N312+O312-P312-M312</f>
        <v/>
      </c>
    </row>
    <row r="313">
      <c r="A313" s="16" t="inlineStr">
        <is>
          <t>5.22-5.28</t>
        </is>
      </c>
      <c r="B313" s="16" t="inlineStr">
        <is>
          <t>PO-128-06379477064312326</t>
        </is>
      </c>
      <c r="C313" s="16" t="inlineStr">
        <is>
          <t>Delivered</t>
        </is>
      </c>
      <c r="D313" s="16" t="inlineStr">
        <is>
          <t>128-06379498035832326</t>
        </is>
      </c>
      <c r="E313" s="16" t="inlineStr">
        <is>
          <t>Delivered</t>
        </is>
      </c>
      <c r="F313" s="16" t="inlineStr">
        <is>
          <t>SA320T-V</t>
        </is>
      </c>
      <c r="G313" s="16" t="inlineStr">
        <is>
          <t>Altavoz inalámbrico portátil con Luces RGB, Radio FM y Manija - 5h Duración, TWS, TF Card, Compacto y Recargable via USB，Perfecto para viajes, fiestas y gaming</t>
        </is>
      </c>
      <c r="H313" s="16" t="inlineStr">
        <is>
          <t>verde</t>
        </is>
      </c>
      <c r="I313" s="16" t="n">
        <v>2</v>
      </c>
      <c r="J313" s="17" t="n">
        <v>96</v>
      </c>
      <c r="K313" s="17" t="n">
        <v>88.88</v>
      </c>
      <c r="L313" s="17" t="n">
        <v>25.86</v>
      </c>
      <c r="M313" s="17" t="n">
        <v>0</v>
      </c>
      <c r="N313" s="17">
        <f>K313*0.08+L313*0.08</f>
        <v/>
      </c>
      <c r="O313" s="17">
        <f>-(K313*0.025+L313*0.025)</f>
        <v/>
      </c>
      <c r="P313" s="17">
        <f>32</f>
        <v/>
      </c>
      <c r="Q313" s="17">
        <f>J313+L313+N313+O313-P313-M313</f>
        <v/>
      </c>
    </row>
    <row r="314">
      <c r="A314" s="16" t="inlineStr">
        <is>
          <t>5.22-5.28</t>
        </is>
      </c>
      <c r="B314" s="16" t="inlineStr">
        <is>
          <t>PO-128-06474193152632851</t>
        </is>
      </c>
      <c r="C314" s="16" t="inlineStr">
        <is>
          <t>Delivered</t>
        </is>
      </c>
      <c r="D314" s="16" t="inlineStr">
        <is>
          <t>128-06474214124152851</t>
        </is>
      </c>
      <c r="E314" s="16" t="inlineStr">
        <is>
          <t>Delivered</t>
        </is>
      </c>
      <c r="F314" s="16" t="inlineStr">
        <is>
          <t>A500-N</t>
        </is>
      </c>
      <c r="G314" s="16" t="inlineStr">
        <is>
          <t>Bocina Bluetooth Portátil Barra de Sonido, Inalámbrica con FM Radio, TWS, USB/TF, Graves Potentes para Hogar y Exteriores</t>
        </is>
      </c>
      <c r="H314" s="16" t="inlineStr">
        <is>
          <t>NEGRO</t>
        </is>
      </c>
      <c r="I314" s="16" t="n">
        <v>1</v>
      </c>
      <c r="J314" s="17" t="n">
        <v>78</v>
      </c>
      <c r="K314" s="17" t="n">
        <v>85.03</v>
      </c>
      <c r="L314" s="17" t="n">
        <v>25.86</v>
      </c>
      <c r="M314" s="17" t="n">
        <v>0</v>
      </c>
      <c r="N314" s="17">
        <f>K314*0.08+L314*0.08</f>
        <v/>
      </c>
      <c r="O314" s="17">
        <f>-(K314*0.025+L314*0.025)</f>
        <v/>
      </c>
      <c r="P314" s="17">
        <f>32</f>
        <v/>
      </c>
      <c r="Q314" s="17">
        <f>J314+L314+N314+O314-P314-M314</f>
        <v/>
      </c>
    </row>
    <row r="315">
      <c r="A315" s="16" t="inlineStr">
        <is>
          <t>5.22-5.28</t>
        </is>
      </c>
      <c r="B315" s="16" t="inlineStr">
        <is>
          <t>PO-128-06764935793270028</t>
        </is>
      </c>
      <c r="C315" s="16" t="inlineStr">
        <is>
          <t>Delivered</t>
        </is>
      </c>
      <c r="D315" s="16" t="inlineStr">
        <is>
          <t>128-06764914821750028</t>
        </is>
      </c>
      <c r="E315" s="16" t="inlineStr">
        <is>
          <t>Delivered</t>
        </is>
      </c>
      <c r="F315" s="16" t="inlineStr">
        <is>
          <t>MB-183B</t>
        </is>
      </c>
      <c r="G315" s="16" t="inlineStr">
        <is>
          <t>Linkbits Altavoz Bluetooth Portátil con Stereo Inalámbrico TWS Impermeable y a Prueba de Polvo IP65 Altavoz de Graves de Rango Completo de 52mm con Doble Unidad Ligero de 215g para Camping Senderismo y Fiestas al Aire Libre</t>
        </is>
      </c>
      <c r="H315" s="16" t="inlineStr">
        <is>
          <t>AZUL/MB-183</t>
        </is>
      </c>
      <c r="I315" s="16" t="n">
        <v>1</v>
      </c>
      <c r="J315" s="17" t="n">
        <v>70</v>
      </c>
      <c r="K315" s="17" t="n">
        <v>87.38</v>
      </c>
      <c r="L315" s="17" t="n">
        <v>25.86</v>
      </c>
      <c r="M315" s="17" t="n">
        <v>0</v>
      </c>
      <c r="N315" s="17">
        <f>K315*0.08+L315*0.08</f>
        <v/>
      </c>
      <c r="O315" s="17">
        <f>-(K315*0.025+L315*0.025)</f>
        <v/>
      </c>
      <c r="P315" s="17">
        <f>32</f>
        <v/>
      </c>
      <c r="Q315" s="17">
        <f>J315+L315+N315+O315-P315-M315</f>
        <v/>
      </c>
    </row>
    <row r="316">
      <c r="A316" s="16" t="inlineStr">
        <is>
          <t>5.22-5.28</t>
        </is>
      </c>
      <c r="B316" s="16" t="inlineStr">
        <is>
          <t>PO-128-06804473016951011</t>
        </is>
      </c>
      <c r="C316" s="16" t="inlineStr">
        <is>
          <t>Delivered</t>
        </is>
      </c>
      <c r="D316" s="16" t="inlineStr">
        <is>
          <t>128-06804387164791011</t>
        </is>
      </c>
      <c r="E316" s="16" t="inlineStr">
        <is>
          <t>Delivered</t>
        </is>
      </c>
      <c r="F316" s="16" t="inlineStr">
        <is>
          <t>A500-N</t>
        </is>
      </c>
      <c r="G316" s="16" t="inlineStr">
        <is>
          <t>Bocina Bluetooth Portátil Barra de Sonido, Inalámbrica con FM Radio, TWS, USB/TF, Graves Potentes para Hogar y Exteriores</t>
        </is>
      </c>
      <c r="H316" s="16" t="inlineStr">
        <is>
          <t>NEGRO</t>
        </is>
      </c>
      <c r="I316" s="16" t="n">
        <v>1</v>
      </c>
      <c r="J316" s="17" t="n">
        <v>78</v>
      </c>
      <c r="K316" s="17" t="n">
        <v>85.03</v>
      </c>
      <c r="L316" s="17" t="n">
        <v>25.86</v>
      </c>
      <c r="M316" s="17" t="n">
        <v>0</v>
      </c>
      <c r="N316" s="17">
        <f>K316*0.08+L316*0.08</f>
        <v/>
      </c>
      <c r="O316" s="17">
        <f>-(K316*0.025+L316*0.025)</f>
        <v/>
      </c>
      <c r="P316" s="17">
        <f>32</f>
        <v/>
      </c>
      <c r="Q316" s="17">
        <f>J316+L316+N316+O316-P316-M316</f>
        <v/>
      </c>
    </row>
    <row r="317">
      <c r="A317" s="16" t="inlineStr">
        <is>
          <t>5.22-5.28</t>
        </is>
      </c>
      <c r="B317" s="16" t="inlineStr">
        <is>
          <t>PO-128-06676283392631775</t>
        </is>
      </c>
      <c r="C317" s="16" t="inlineStr">
        <is>
          <t>Delivered</t>
        </is>
      </c>
      <c r="D317" s="16" t="inlineStr">
        <is>
          <t>128-06676241449591775</t>
        </is>
      </c>
      <c r="E317" s="16" t="inlineStr">
        <is>
          <t>Delivered</t>
        </is>
      </c>
      <c r="F317" s="16" t="inlineStr">
        <is>
          <t>A500-N</t>
        </is>
      </c>
      <c r="G317" s="16" t="inlineStr">
        <is>
          <t>Bocina Bluetooth Portátil Barra de Sonido, Inalámbrica con FM Radio, TWS, USB/TF, Graves Potentes para Hogar y Exteriores</t>
        </is>
      </c>
      <c r="H317" s="16" t="inlineStr">
        <is>
          <t>NEGRO</t>
        </is>
      </c>
      <c r="I317" s="16" t="n">
        <v>1</v>
      </c>
      <c r="J317" s="17" t="n">
        <v>78</v>
      </c>
      <c r="K317" s="17" t="n">
        <v>2.27</v>
      </c>
      <c r="L317" s="17" t="n">
        <v>25.86</v>
      </c>
      <c r="M317" s="17" t="n">
        <v>0</v>
      </c>
      <c r="N317" s="17">
        <f>K317*0.08+L317*0.08</f>
        <v/>
      </c>
      <c r="O317" s="17">
        <f>-(K317*0.025+L317*0.025)</f>
        <v/>
      </c>
      <c r="P317" s="17">
        <f>32</f>
        <v/>
      </c>
      <c r="Q317" s="17">
        <f>J317+L317+N317+O317-P317-M317</f>
        <v/>
      </c>
    </row>
    <row r="318">
      <c r="A318" s="16" t="inlineStr">
        <is>
          <t>5.22-5.28</t>
        </is>
      </c>
      <c r="B318" s="16" t="inlineStr">
        <is>
          <t>PO-128-06510311900792570</t>
        </is>
      </c>
      <c r="C318" s="16" t="inlineStr">
        <is>
          <t>Delivered</t>
        </is>
      </c>
      <c r="D318" s="16" t="inlineStr">
        <is>
          <t>128-06510353843832570</t>
        </is>
      </c>
      <c r="E318" s="16" t="inlineStr">
        <is>
          <t>Delivered</t>
        </is>
      </c>
      <c r="F318" s="16" t="inlineStr">
        <is>
          <t>MB-185A</t>
        </is>
      </c>
      <c r="G318" s="16" t="inlineStr">
        <is>
          <t>Bocina Radio FM/Reproductor, Compatible con Tarjeta TF, USB, Bluetooth, Aplicable para celular, computadora, Ipad y consola</t>
        </is>
      </c>
      <c r="H318" s="16" t="inlineStr">
        <is>
          <t>AZUL/MB-185</t>
        </is>
      </c>
      <c r="I318" s="16" t="n">
        <v>1</v>
      </c>
      <c r="J318" s="17" t="n">
        <v>66</v>
      </c>
      <c r="K318" s="17" t="n">
        <v>63.16</v>
      </c>
      <c r="L318" s="17" t="n">
        <v>12.93</v>
      </c>
      <c r="M318" s="17" t="n">
        <v>0</v>
      </c>
      <c r="N318" s="17">
        <f>K318*0.08+L318*0.08</f>
        <v/>
      </c>
      <c r="O318" s="17">
        <f>-(K318*0.025+L318*0.025)</f>
        <v/>
      </c>
      <c r="P318" s="17">
        <f>32</f>
        <v/>
      </c>
      <c r="Q318" s="17">
        <f>J318+L318+N318+O318-P318-M318</f>
        <v/>
      </c>
    </row>
    <row r="319">
      <c r="A319" s="16" t="inlineStr">
        <is>
          <t>5.22-5.28</t>
        </is>
      </c>
      <c r="B319" s="16" t="inlineStr">
        <is>
          <t>PO-128-06510311900792570</t>
        </is>
      </c>
      <c r="C319" s="16" t="inlineStr">
        <is>
          <t>Delivered</t>
        </is>
      </c>
      <c r="D319" s="16" t="inlineStr">
        <is>
          <t>128-06510374815352570</t>
        </is>
      </c>
      <c r="E319" s="16" t="inlineStr">
        <is>
          <t>Delivered</t>
        </is>
      </c>
      <c r="F319" s="16" t="inlineStr">
        <is>
          <t>MB-185R</t>
        </is>
      </c>
      <c r="G319" s="16" t="inlineStr">
        <is>
          <t>Bocina Radio FM/Reproductor, Compatible con Tarjeta TF, USB, Bluetooth, Aplicable para celular, computadora, Ipad y consola</t>
        </is>
      </c>
      <c r="H319" s="16" t="inlineStr">
        <is>
          <t>ROJO/MB-185</t>
        </is>
      </c>
      <c r="I319" s="16" t="n">
        <v>1</v>
      </c>
      <c r="J319" s="17" t="n">
        <v>66</v>
      </c>
      <c r="K319" s="17" t="n">
        <v>63.16</v>
      </c>
      <c r="L319" s="17" t="n">
        <v>12.93</v>
      </c>
      <c r="M319" s="17" t="n">
        <v>0</v>
      </c>
      <c r="N319" s="17">
        <f>K319*0.08+L319*0.08</f>
        <v/>
      </c>
      <c r="O319" s="17">
        <f>-(K319*0.025+L319*0.025)</f>
        <v/>
      </c>
      <c r="P319" s="17">
        <f>32</f>
        <v/>
      </c>
      <c r="Q319" s="17">
        <f>J319+L319+N319+O319-P319-M319</f>
        <v/>
      </c>
    </row>
    <row r="320">
      <c r="A320" s="16" t="inlineStr">
        <is>
          <t>5.22-5.28</t>
        </is>
      </c>
      <c r="B320" s="16" t="inlineStr">
        <is>
          <t>PO-128-06573795845751168</t>
        </is>
      </c>
      <c r="C320" s="16" t="inlineStr">
        <is>
          <t>Delivered</t>
        </is>
      </c>
      <c r="D320" s="16" t="inlineStr">
        <is>
          <t>128-06573816325751168</t>
        </is>
      </c>
      <c r="E320" s="16" t="inlineStr">
        <is>
          <t>Delivered</t>
        </is>
      </c>
      <c r="F320" s="16" t="inlineStr">
        <is>
          <t>SA320T-V</t>
        </is>
      </c>
      <c r="G320" s="16" t="inlineStr">
        <is>
          <t>Altavoz inalámbrico portátil con Luces RGB, Radio FM y Manija - 5h Duración, TWS, TF Card, Compacto y Recargable via USB，Perfecto para viajes, fiestas y gaming</t>
        </is>
      </c>
      <c r="H320" s="16" t="inlineStr">
        <is>
          <t>verde</t>
        </is>
      </c>
      <c r="I320" s="16" t="n">
        <v>1</v>
      </c>
      <c r="J320" s="17" t="n">
        <v>48</v>
      </c>
      <c r="K320" s="17" t="n">
        <v>58.72</v>
      </c>
      <c r="L320" s="17" t="n">
        <v>25.86</v>
      </c>
      <c r="M320" s="17" t="n">
        <v>0</v>
      </c>
      <c r="N320" s="17">
        <f>K320*0.08+L320*0.08</f>
        <v/>
      </c>
      <c r="O320" s="17">
        <f>-(K320*0.025+L320*0.025)</f>
        <v/>
      </c>
      <c r="P320" s="17">
        <f>32</f>
        <v/>
      </c>
      <c r="Q320" s="17">
        <f>J320+L320+N320+O320-P320-M320</f>
        <v/>
      </c>
    </row>
    <row r="321">
      <c r="A321" s="16" t="inlineStr">
        <is>
          <t>5.22-5.28</t>
        </is>
      </c>
      <c r="B321" s="16" t="inlineStr">
        <is>
          <t>PO-128-06573272259191173</t>
        </is>
      </c>
      <c r="C321" s="16" t="inlineStr">
        <is>
          <t>Delivered</t>
        </is>
      </c>
      <c r="D321" s="16" t="inlineStr">
        <is>
          <t>128-06573230316151173</t>
        </is>
      </c>
      <c r="E321" s="16" t="inlineStr">
        <is>
          <t>Delivered</t>
        </is>
      </c>
      <c r="F321" s="16" t="inlineStr">
        <is>
          <t>A500-N</t>
        </is>
      </c>
      <c r="G321" s="16" t="inlineStr">
        <is>
          <t>Bocina Bluetooth Portátil Barra de Sonido, Inalámbrica con FM Radio, TWS, USB/TF, Graves Potentes para Hogar y Exteriores</t>
        </is>
      </c>
      <c r="H321" s="16" t="inlineStr">
        <is>
          <t>NEGRO</t>
        </is>
      </c>
      <c r="I321" s="16" t="n">
        <v>1</v>
      </c>
      <c r="J321" s="17" t="n">
        <v>78</v>
      </c>
      <c r="K321" s="17" t="n">
        <v>85.03</v>
      </c>
      <c r="L321" s="17" t="n">
        <v>25.86</v>
      </c>
      <c r="M321" s="17" t="n">
        <v>0</v>
      </c>
      <c r="N321" s="17">
        <f>K321*0.08+L321*0.08</f>
        <v/>
      </c>
      <c r="O321" s="17">
        <f>-(K321*0.025+L321*0.025)</f>
        <v/>
      </c>
      <c r="P321" s="17">
        <f>32</f>
        <v/>
      </c>
      <c r="Q321" s="17">
        <f>J321+L321+N321+O321-P321-M321</f>
        <v/>
      </c>
    </row>
    <row r="322">
      <c r="A322" s="16" t="inlineStr">
        <is>
          <t>5.22-5.28</t>
        </is>
      </c>
      <c r="B322" s="16" t="inlineStr">
        <is>
          <t>PO-128-12335342119030682</t>
        </is>
      </c>
      <c r="C322" s="16" t="inlineStr">
        <is>
          <t>Delivered</t>
        </is>
      </c>
      <c r="D322" s="16" t="inlineStr">
        <is>
          <t>128-12335310661750682</t>
        </is>
      </c>
      <c r="E322" s="16" t="inlineStr">
        <is>
          <t>Delivered</t>
        </is>
      </c>
      <c r="F322" s="16" t="inlineStr">
        <is>
          <t>A500-N</t>
        </is>
      </c>
      <c r="G322" s="16" t="inlineStr">
        <is>
          <t>Bocina Bluetooth Portátil Barra de Sonido, Inalámbrica con FM Radio, TWS, USB/TF, Graves Potentes para Hogar y Exteriores</t>
        </is>
      </c>
      <c r="H322" s="16" t="inlineStr">
        <is>
          <t>NEGRO</t>
        </is>
      </c>
      <c r="I322" s="16" t="n">
        <v>1</v>
      </c>
      <c r="J322" s="17" t="n">
        <v>78</v>
      </c>
      <c r="K322" s="17" t="n">
        <v>71.56</v>
      </c>
      <c r="L322" s="17" t="n">
        <v>25.86</v>
      </c>
      <c r="M322" s="17" t="n">
        <v>0</v>
      </c>
      <c r="N322" s="17">
        <f>K322*0.08+L322*0.08</f>
        <v/>
      </c>
      <c r="O322" s="17">
        <f>-(K322*0.025+L322*0.025)</f>
        <v/>
      </c>
      <c r="P322" s="17">
        <f>32</f>
        <v/>
      </c>
      <c r="Q322" s="17">
        <f>J322+L322+N322+O322-P322-M322</f>
        <v/>
      </c>
    </row>
    <row r="323">
      <c r="A323" s="16" t="inlineStr">
        <is>
          <t>5.22-5.28</t>
        </is>
      </c>
      <c r="B323" s="16" t="inlineStr">
        <is>
          <t>PO-128-12157308163191681</t>
        </is>
      </c>
      <c r="C323" s="16" t="inlineStr">
        <is>
          <t>Delivered</t>
        </is>
      </c>
      <c r="D323" s="16" t="inlineStr">
        <is>
          <t>128-12157371077751681</t>
        </is>
      </c>
      <c r="E323" s="16" t="inlineStr">
        <is>
          <t>Delivered</t>
        </is>
      </c>
      <c r="F323" s="16" t="inlineStr">
        <is>
          <t>A500-R</t>
        </is>
      </c>
      <c r="G323" s="16" t="inlineStr">
        <is>
          <t>Bocina Bluetooth Portátil Barra de Sonido, Inalámbrica con FM Radio, TWS, USB/TF, Graves Potentes para Hogar y Exteriores</t>
        </is>
      </c>
      <c r="H323" s="16" t="inlineStr">
        <is>
          <t>ROIO</t>
        </is>
      </c>
      <c r="I323" s="16" t="n">
        <v>1</v>
      </c>
      <c r="J323" s="17" t="n">
        <v>78</v>
      </c>
      <c r="K323" s="17" t="n">
        <v>68.03</v>
      </c>
      <c r="L323" s="17" t="n">
        <v>8.84</v>
      </c>
      <c r="M323" s="17" t="n">
        <v>0</v>
      </c>
      <c r="N323" s="17">
        <f>K323*0.08+L323*0.08</f>
        <v/>
      </c>
      <c r="O323" s="17">
        <f>-(K323*0.025+L323*0.025)</f>
        <v/>
      </c>
      <c r="P323" s="17">
        <f>32</f>
        <v/>
      </c>
      <c r="Q323" s="17">
        <f>J323+L323+N323+O323-P323-M323</f>
        <v/>
      </c>
    </row>
    <row r="324">
      <c r="A324" s="16" t="inlineStr">
        <is>
          <t>5.22-5.28</t>
        </is>
      </c>
      <c r="B324" s="16" t="inlineStr">
        <is>
          <t>PO-128-12157308163191681</t>
        </is>
      </c>
      <c r="C324" s="16" t="inlineStr">
        <is>
          <t>Delivered</t>
        </is>
      </c>
      <c r="D324" s="16" t="inlineStr">
        <is>
          <t>128-12157329134711681</t>
        </is>
      </c>
      <c r="E324" s="16" t="inlineStr">
        <is>
          <t>Delivered</t>
        </is>
      </c>
      <c r="F324" s="16" t="inlineStr">
        <is>
          <t>A500-N</t>
        </is>
      </c>
      <c r="G324" s="16" t="inlineStr">
        <is>
          <t>Bocina Bluetooth Portátil Barra de Sonido, Inalámbrica con FM Radio, TWS, USB/TF, Graves Potentes para Hogar y Exteriores</t>
        </is>
      </c>
      <c r="H324" s="16" t="inlineStr">
        <is>
          <t>NEGRO</t>
        </is>
      </c>
      <c r="I324" s="16" t="n">
        <v>1</v>
      </c>
      <c r="J324" s="17" t="n">
        <v>78</v>
      </c>
      <c r="K324" s="17" t="n">
        <v>68.03</v>
      </c>
      <c r="L324" s="17" t="n">
        <v>8.85</v>
      </c>
      <c r="M324" s="17" t="n">
        <v>0</v>
      </c>
      <c r="N324" s="17">
        <f>K324*0.08+L324*0.08</f>
        <v/>
      </c>
      <c r="O324" s="17">
        <f>-(K324*0.025+L324*0.025)</f>
        <v/>
      </c>
      <c r="P324" s="17">
        <f>32</f>
        <v/>
      </c>
      <c r="Q324" s="17">
        <f>J324+L324+N324+O324-P324-M324</f>
        <v/>
      </c>
    </row>
    <row r="325">
      <c r="A325" s="16" t="inlineStr">
        <is>
          <t>5.22-5.28</t>
        </is>
      </c>
      <c r="B325" s="16" t="inlineStr">
        <is>
          <t>PO-128-12157308163191681</t>
        </is>
      </c>
      <c r="C325" s="16" t="inlineStr">
        <is>
          <t>Delivered</t>
        </is>
      </c>
      <c r="D325" s="16" t="inlineStr">
        <is>
          <t>128-12157413020791681</t>
        </is>
      </c>
      <c r="E325" s="16" t="inlineStr">
        <is>
          <t>Delivered</t>
        </is>
      </c>
      <c r="F325" s="16" t="inlineStr">
        <is>
          <t>A500-A</t>
        </is>
      </c>
      <c r="G325" s="16" t="inlineStr">
        <is>
          <t>Bocina Bluetooth Portátil Barra de Sonido, Inalámbrica con FM Radio, TWS, USB/TF, Graves Potentes para Hogar y Exteriores</t>
        </is>
      </c>
      <c r="H325" s="16" t="inlineStr">
        <is>
          <t>AZUL</t>
        </is>
      </c>
      <c r="I325" s="16" t="n">
        <v>1</v>
      </c>
      <c r="J325" s="17" t="n">
        <v>72</v>
      </c>
      <c r="K325" s="17" t="n">
        <v>62.81</v>
      </c>
      <c r="L325" s="17" t="n">
        <v>8.16</v>
      </c>
      <c r="M325" s="17" t="n">
        <v>0</v>
      </c>
      <c r="N325" s="17">
        <f>K325*0.08+L325*0.08</f>
        <v/>
      </c>
      <c r="O325" s="17">
        <f>-(K325*0.025+L325*0.025)</f>
        <v/>
      </c>
      <c r="P325" s="17">
        <f>32</f>
        <v/>
      </c>
      <c r="Q325" s="17">
        <f>J325+L325+N325+O325-P325-M325</f>
        <v/>
      </c>
    </row>
    <row r="326">
      <c r="A326" s="16" t="inlineStr">
        <is>
          <t>5.22-5.28</t>
        </is>
      </c>
      <c r="B326" s="16" t="inlineStr">
        <is>
          <t>PO-128-11894645604472415</t>
        </is>
      </c>
      <c r="C326" s="16" t="inlineStr">
        <is>
          <t>Delivered</t>
        </is>
      </c>
      <c r="D326" s="16" t="inlineStr">
        <is>
          <t>128-11894698033272415</t>
        </is>
      </c>
      <c r="E326" s="16" t="inlineStr">
        <is>
          <t>Delivered</t>
        </is>
      </c>
      <c r="F326" s="16" t="inlineStr">
        <is>
          <t>A500-A</t>
        </is>
      </c>
      <c r="G326" s="16" t="inlineStr">
        <is>
          <t>Bocina Bluetooth Portátil Barra de Sonido, Inalámbrica con FM Radio, TWS, USB/TF, Graves Potentes para Hogar y Exteriores</t>
        </is>
      </c>
      <c r="H326" s="16" t="inlineStr">
        <is>
          <t>AZUL</t>
        </is>
      </c>
      <c r="I326" s="16" t="n">
        <v>1</v>
      </c>
      <c r="J326" s="17" t="n">
        <v>72</v>
      </c>
      <c r="K326" s="17" t="n">
        <v>78.53</v>
      </c>
      <c r="L326" s="17" t="n">
        <v>25.86</v>
      </c>
      <c r="M326" s="17" t="n">
        <v>0</v>
      </c>
      <c r="N326" s="17">
        <f>K326*0.08+L326*0.08</f>
        <v/>
      </c>
      <c r="O326" s="17">
        <f>-(K326*0.025+L326*0.025)</f>
        <v/>
      </c>
      <c r="P326" s="17">
        <f>32</f>
        <v/>
      </c>
      <c r="Q326" s="17">
        <f>J326+L326+N326+O326-P326-M326</f>
        <v/>
      </c>
    </row>
    <row r="327">
      <c r="A327" s="16" t="inlineStr">
        <is>
          <t>5.22-5.28</t>
        </is>
      </c>
      <c r="B327" s="16" t="inlineStr">
        <is>
          <t>PO-128-12258601521270244</t>
        </is>
      </c>
      <c r="C327" s="16" t="inlineStr">
        <is>
          <t>Delivered</t>
        </is>
      </c>
      <c r="D327" s="16" t="inlineStr">
        <is>
          <t>128-12258559578230244</t>
        </is>
      </c>
      <c r="E327" s="16" t="inlineStr">
        <is>
          <t>Delivered</t>
        </is>
      </c>
      <c r="F327" s="16" t="inlineStr">
        <is>
          <t>A500-N</t>
        </is>
      </c>
      <c r="G327" s="16" t="inlineStr">
        <is>
          <t>Bocina Bluetooth Portátil Barra de Sonido, Inalámbrica con FM Radio, TWS, USB/TF, Graves Potentes para Hogar y Exteriores</t>
        </is>
      </c>
      <c r="H327" s="16" t="inlineStr">
        <is>
          <t>NEGRO</t>
        </is>
      </c>
      <c r="I327" s="16" t="n">
        <v>1</v>
      </c>
      <c r="J327" s="17" t="n">
        <v>78</v>
      </c>
      <c r="K327" s="17" t="n">
        <v>85.03</v>
      </c>
      <c r="L327" s="17" t="n">
        <v>25.86</v>
      </c>
      <c r="M327" s="17" t="n">
        <v>0</v>
      </c>
      <c r="N327" s="17">
        <f>K327*0.08+L327*0.08</f>
        <v/>
      </c>
      <c r="O327" s="17">
        <f>-(K327*0.025+L327*0.025)</f>
        <v/>
      </c>
      <c r="P327" s="17">
        <f>32</f>
        <v/>
      </c>
      <c r="Q327" s="17">
        <f>J327+L327+N327+O327-P327-M327</f>
        <v/>
      </c>
    </row>
    <row r="328">
      <c r="A328" s="16" t="inlineStr">
        <is>
          <t>5.22-5.28</t>
        </is>
      </c>
      <c r="B328" s="16" t="inlineStr">
        <is>
          <t>PO-128-12131465613432027</t>
        </is>
      </c>
      <c r="C328" s="16" t="inlineStr">
        <is>
          <t>Delivered</t>
        </is>
      </c>
      <c r="D328" s="16" t="inlineStr">
        <is>
          <t>128-12131486584952027</t>
        </is>
      </c>
      <c r="E328" s="16" t="inlineStr">
        <is>
          <t>Delivered</t>
        </is>
      </c>
      <c r="F328" s="16" t="inlineStr">
        <is>
          <t>A500-A</t>
        </is>
      </c>
      <c r="G328" s="16" t="inlineStr">
        <is>
          <t>Bocina Bluetooth Portátil Barra de Sonido, Inalámbrica con FM Radio, TWS, USB/TF, Graves Potentes para Hogar y Exteriores</t>
        </is>
      </c>
      <c r="H328" s="16" t="inlineStr">
        <is>
          <t>AZUL</t>
        </is>
      </c>
      <c r="I328" s="16" t="n">
        <v>2</v>
      </c>
      <c r="J328" s="17" t="n">
        <v>144</v>
      </c>
      <c r="K328" s="17" t="n">
        <v>157.06</v>
      </c>
      <c r="L328" s="17" t="n">
        <v>25.86</v>
      </c>
      <c r="M328" s="17" t="n">
        <v>0</v>
      </c>
      <c r="N328" s="17">
        <f>K328*0.08+L328*0.08</f>
        <v/>
      </c>
      <c r="O328" s="17">
        <f>-(K328*0.025+L328*0.025)</f>
        <v/>
      </c>
      <c r="P328" s="17">
        <f>32</f>
        <v/>
      </c>
      <c r="Q328" s="17">
        <f>J328+L328+N328+O328-P328-M328</f>
        <v/>
      </c>
    </row>
    <row r="329">
      <c r="A329" s="16" t="inlineStr">
        <is>
          <t>5.22-5.28</t>
        </is>
      </c>
      <c r="B329" s="16" t="inlineStr">
        <is>
          <t>PO-128-12023453110392671</t>
        </is>
      </c>
      <c r="C329" s="16" t="inlineStr">
        <is>
          <t>Delivered</t>
        </is>
      </c>
      <c r="D329" s="16" t="inlineStr">
        <is>
          <t>128-12023463596152671</t>
        </is>
      </c>
      <c r="E329" s="16" t="inlineStr">
        <is>
          <t>Delivered</t>
        </is>
      </c>
      <c r="F329" s="16" t="inlineStr">
        <is>
          <t>A500-A</t>
        </is>
      </c>
      <c r="G329" s="16" t="inlineStr">
        <is>
          <t>Bocina Bluetooth Portátil Barra de Sonido, Inalámbrica con FM Radio, TWS, USB/TF, Graves Potentes para Hogar y Exteriores</t>
        </is>
      </c>
      <c r="H329" s="16" t="inlineStr">
        <is>
          <t>AZUL</t>
        </is>
      </c>
      <c r="I329" s="16" t="n">
        <v>1</v>
      </c>
      <c r="J329" s="17" t="n">
        <v>72</v>
      </c>
      <c r="K329" s="17" t="n">
        <v>62.82</v>
      </c>
      <c r="L329" s="17" t="n">
        <v>25.86</v>
      </c>
      <c r="M329" s="17" t="n">
        <v>0</v>
      </c>
      <c r="N329" s="17">
        <f>K329*0.08+L329*0.08</f>
        <v/>
      </c>
      <c r="O329" s="17">
        <f>-(K329*0.025+L329*0.025)</f>
        <v/>
      </c>
      <c r="P329" s="17">
        <f>32</f>
        <v/>
      </c>
      <c r="Q329" s="17">
        <f>J329+L329+N329+O329-P329-M329</f>
        <v/>
      </c>
    </row>
    <row r="330">
      <c r="A330" s="16" t="inlineStr">
        <is>
          <t>5.22-5.28</t>
        </is>
      </c>
      <c r="B330" s="16" t="inlineStr">
        <is>
          <t>PO-128-11761595098233142</t>
        </is>
      </c>
      <c r="C330" s="16" t="inlineStr">
        <is>
          <t>Delivered</t>
        </is>
      </c>
      <c r="D330" s="16" t="inlineStr">
        <is>
          <t>128-11761647527033142</t>
        </is>
      </c>
      <c r="E330" s="16" t="inlineStr">
        <is>
          <t>Delivered</t>
        </is>
      </c>
      <c r="F330" s="16" t="inlineStr">
        <is>
          <t>A500-N</t>
        </is>
      </c>
      <c r="G330" s="16" t="inlineStr">
        <is>
          <t>Bocina Bluetooth Portátil Barra de Sonido, Inalámbrica con FM Radio, TWS, USB/TF, Graves Potentes para Hogar y Exteriores</t>
        </is>
      </c>
      <c r="H330" s="16" t="inlineStr">
        <is>
          <t>NEGRO</t>
        </is>
      </c>
      <c r="I330" s="16" t="n">
        <v>1</v>
      </c>
      <c r="J330" s="17" t="n">
        <v>78</v>
      </c>
      <c r="K330" s="17" t="n">
        <v>85.03</v>
      </c>
      <c r="L330" s="17" t="n">
        <v>25.86</v>
      </c>
      <c r="M330" s="17" t="n">
        <v>0</v>
      </c>
      <c r="N330" s="17">
        <f>K330*0.08+L330*0.08</f>
        <v/>
      </c>
      <c r="O330" s="17">
        <f>-(K330*0.025+L330*0.025)</f>
        <v/>
      </c>
      <c r="P330" s="17">
        <f>32</f>
        <v/>
      </c>
      <c r="Q330" s="17">
        <f>J330+L330+N330+O330-P330-M330</f>
        <v/>
      </c>
    </row>
    <row r="331">
      <c r="A331" s="16" t="inlineStr">
        <is>
          <t>5.22-5.28</t>
        </is>
      </c>
      <c r="B331" s="16" t="inlineStr">
        <is>
          <t>PO-128-12357857354870548</t>
        </is>
      </c>
      <c r="C331" s="16" t="inlineStr">
        <is>
          <t>Delivered</t>
        </is>
      </c>
      <c r="D331" s="16" t="inlineStr">
        <is>
          <t>128-12357909783670548</t>
        </is>
      </c>
      <c r="E331" s="16" t="inlineStr">
        <is>
          <t>Delivered</t>
        </is>
      </c>
      <c r="F331" s="16" t="inlineStr">
        <is>
          <t>MB-185N</t>
        </is>
      </c>
      <c r="G331" s="16" t="inlineStr">
        <is>
          <t>Bocina Radio FM/Reproductor, Compatible con Tarjeta TF, USB, Bluetooth, Aplicable para celular, computadora, Ipad y consola</t>
        </is>
      </c>
      <c r="H331" s="16" t="inlineStr">
        <is>
          <t>NEGRO/MB-185</t>
        </is>
      </c>
      <c r="I331" s="16" t="n">
        <v>1</v>
      </c>
      <c r="J331" s="17" t="n">
        <v>66</v>
      </c>
      <c r="K331" s="17" t="n">
        <v>78.94</v>
      </c>
      <c r="L331" s="17" t="n">
        <v>25.86</v>
      </c>
      <c r="M331" s="17" t="n">
        <v>0</v>
      </c>
      <c r="N331" s="17">
        <f>K331*0.08+L331*0.08</f>
        <v/>
      </c>
      <c r="O331" s="17">
        <f>-(K331*0.025+L331*0.025)</f>
        <v/>
      </c>
      <c r="P331" s="17">
        <f>32</f>
        <v/>
      </c>
      <c r="Q331" s="17">
        <f>J331+L331+N331+O331-P331-M331</f>
        <v/>
      </c>
    </row>
    <row r="332">
      <c r="A332" s="16" t="inlineStr">
        <is>
          <t>5.22-5.28</t>
        </is>
      </c>
      <c r="B332" s="16" t="inlineStr">
        <is>
          <t>PO-128-12138054853751794</t>
        </is>
      </c>
      <c r="C332" s="16" t="inlineStr">
        <is>
          <t>Delivered</t>
        </is>
      </c>
      <c r="D332" s="16" t="inlineStr">
        <is>
          <t>128-12138096796791794</t>
        </is>
      </c>
      <c r="E332" s="16" t="inlineStr">
        <is>
          <t>Delivered</t>
        </is>
      </c>
      <c r="F332" s="16" t="inlineStr">
        <is>
          <t>A500-N</t>
        </is>
      </c>
      <c r="G332" s="16" t="inlineStr">
        <is>
          <t>Bocina Bluetooth Portátil Barra de Sonido, Inalámbrica con FM Radio, TWS, USB/TF, Graves Potentes para Hogar y Exteriores</t>
        </is>
      </c>
      <c r="H332" s="16" t="inlineStr">
        <is>
          <t>NEGRO</t>
        </is>
      </c>
      <c r="I332" s="16" t="n">
        <v>1</v>
      </c>
      <c r="J332" s="17" t="n">
        <v>78</v>
      </c>
      <c r="K332" s="17" t="n">
        <v>85.03</v>
      </c>
      <c r="L332" s="17" t="n">
        <v>25.86</v>
      </c>
      <c r="M332" s="17" t="n">
        <v>0</v>
      </c>
      <c r="N332" s="17">
        <f>K332*0.08+L332*0.08</f>
        <v/>
      </c>
      <c r="O332" s="17">
        <f>-(K332*0.025+L332*0.025)</f>
        <v/>
      </c>
      <c r="P332" s="17">
        <f>32</f>
        <v/>
      </c>
      <c r="Q332" s="17">
        <f>J332+L332+N332+O332-P332-M332</f>
        <v/>
      </c>
    </row>
    <row r="333">
      <c r="A333" s="16" t="inlineStr">
        <is>
          <t>5.22-5.28</t>
        </is>
      </c>
      <c r="B333" s="16" t="inlineStr">
        <is>
          <t>PO-128-12073611292791154</t>
        </is>
      </c>
      <c r="C333" s="16" t="inlineStr">
        <is>
          <t>Delivered</t>
        </is>
      </c>
      <c r="D333" s="16" t="inlineStr">
        <is>
          <t>128-12073592942711154</t>
        </is>
      </c>
      <c r="E333" s="16" t="inlineStr">
        <is>
          <t>Delivered</t>
        </is>
      </c>
      <c r="F333" s="16" t="inlineStr">
        <is>
          <t>A500-N</t>
        </is>
      </c>
      <c r="G333" s="16" t="inlineStr">
        <is>
          <t>Bocina Bluetooth Portátil Barra de Sonido, Inalámbrica con FM Radio, TWS, USB/TF, Graves Potentes para Hogar y Exteriores</t>
        </is>
      </c>
      <c r="H333" s="16" t="inlineStr">
        <is>
          <t>NEGRO</t>
        </is>
      </c>
      <c r="I333" s="16" t="n">
        <v>1</v>
      </c>
      <c r="J333" s="17" t="n">
        <v>78</v>
      </c>
      <c r="K333" s="17" t="n">
        <v>85.03</v>
      </c>
      <c r="L333" s="17" t="n">
        <v>25.86</v>
      </c>
      <c r="M333" s="17" t="n">
        <v>0</v>
      </c>
      <c r="N333" s="17">
        <f>K333*0.08+L333*0.08</f>
        <v/>
      </c>
      <c r="O333" s="17">
        <f>-(K333*0.025+L333*0.025)</f>
        <v/>
      </c>
      <c r="P333" s="17">
        <f>32</f>
        <v/>
      </c>
      <c r="Q333" s="17">
        <f>J333+L333+N333+O333-P333-M333</f>
        <v/>
      </c>
    </row>
    <row r="334">
      <c r="A334" s="16" t="inlineStr">
        <is>
          <t>5.22-5.28</t>
        </is>
      </c>
      <c r="B334" s="16" t="inlineStr">
        <is>
          <t>PO-128-11750028137593085</t>
        </is>
      </c>
      <c r="C334" s="16" t="inlineStr">
        <is>
          <t>Delivered</t>
        </is>
      </c>
      <c r="D334" s="16" t="inlineStr">
        <is>
          <t>128-11750028014713085</t>
        </is>
      </c>
      <c r="E334" s="16" t="inlineStr">
        <is>
          <t>Delivered</t>
        </is>
      </c>
      <c r="F334" s="16" t="inlineStr">
        <is>
          <t>F025</t>
        </is>
      </c>
      <c r="G334" s="16" t="inlineStr">
        <is>
          <t>Sopladora Turbo Inalámbrica 130000 RPM - Aire Comprimido Eléctrico con Batería 8400mAh, Carga Rápida 2.5H, Ajuste Infinito de Velocidad, Kit Limpieza Multiuso para PC, Coche, Hogar y Exteriores</t>
        </is>
      </c>
      <c r="H334" s="16" t="inlineStr">
        <is>
          <t>Unidad Individual/1Pieza</t>
        </is>
      </c>
      <c r="I334" s="16" t="n">
        <v>1</v>
      </c>
      <c r="J334" s="17" t="n">
        <v>145</v>
      </c>
      <c r="K334" s="17" t="n">
        <v>139.77</v>
      </c>
      <c r="L334" s="17" t="n">
        <v>25.86</v>
      </c>
      <c r="M334" s="17" t="n">
        <v>13.84</v>
      </c>
      <c r="N334" s="17">
        <f>K334*0.08+L334*0.08</f>
        <v/>
      </c>
      <c r="O334" s="17">
        <f>-(K334*0.025+L334*0.025)</f>
        <v/>
      </c>
      <c r="P334" s="17">
        <f>32</f>
        <v/>
      </c>
      <c r="Q334" s="17">
        <f>J334+L334+N334+O334-P334-M334</f>
        <v/>
      </c>
    </row>
    <row r="335">
      <c r="A335" s="16" t="inlineStr">
        <is>
          <t>5.22-5.28</t>
        </is>
      </c>
      <c r="B335" s="16" t="inlineStr">
        <is>
          <t>PO-128-11900967516792185</t>
        </is>
      </c>
      <c r="C335" s="16" t="inlineStr">
        <is>
          <t>Delivered</t>
        </is>
      </c>
      <c r="D335" s="16" t="inlineStr">
        <is>
          <t>128-11901009459832185</t>
        </is>
      </c>
      <c r="E335" s="16" t="inlineStr">
        <is>
          <t>Delivered</t>
        </is>
      </c>
      <c r="F335" s="16" t="inlineStr">
        <is>
          <t>MB-183B</t>
        </is>
      </c>
      <c r="G335" s="16" t="inlineStr">
        <is>
          <t>Linkbits Altavoz Bluetooth Portátil con Stereo Inalámbrico TWS Impermeable y a Prueba de Polvo IP65 Altavoz de Graves de Rango Completo de 52mm con Doble Unidad Ligero de 215g para Camping Senderismo y Fiestas al Aire Libre</t>
        </is>
      </c>
      <c r="H335" s="16" t="inlineStr">
        <is>
          <t>AZUL/MB-183</t>
        </is>
      </c>
      <c r="I335" s="16" t="n">
        <v>2</v>
      </c>
      <c r="J335" s="17" t="n">
        <v>140</v>
      </c>
      <c r="K335" s="17" t="n">
        <v>105.46</v>
      </c>
      <c r="L335" s="17" t="n">
        <v>25.86</v>
      </c>
      <c r="M335" s="17" t="n">
        <v>0</v>
      </c>
      <c r="N335" s="17">
        <f>K335*0.08+L335*0.08</f>
        <v/>
      </c>
      <c r="O335" s="17">
        <f>-(K335*0.025+L335*0.025)</f>
        <v/>
      </c>
      <c r="P335" s="17">
        <f>32</f>
        <v/>
      </c>
      <c r="Q335" s="17">
        <f>J335+L335+N335+O335-P335-M335</f>
        <v/>
      </c>
    </row>
    <row r="336">
      <c r="A336" s="16" t="inlineStr">
        <is>
          <t>5.22-5.28</t>
        </is>
      </c>
      <c r="B336" s="16" t="inlineStr">
        <is>
          <t>PO-128-12207281592950423</t>
        </is>
      </c>
      <c r="C336" s="16" t="inlineStr">
        <is>
          <t>Delivered</t>
        </is>
      </c>
      <c r="D336" s="16" t="inlineStr">
        <is>
          <t>128-12207334021750423</t>
        </is>
      </c>
      <c r="E336" s="16" t="inlineStr">
        <is>
          <t>Delivered</t>
        </is>
      </c>
      <c r="F336" s="16" t="inlineStr">
        <is>
          <t>A500-R</t>
        </is>
      </c>
      <c r="G336" s="16" t="inlineStr">
        <is>
          <t>Bocina Bluetooth Portátil Barra de Sonido, Inalámbrica con FM Radio, TWS, USB/TF, Graves Potentes para Hogar y Exteriores</t>
        </is>
      </c>
      <c r="H336" s="16" t="inlineStr">
        <is>
          <t>ROIO</t>
        </is>
      </c>
      <c r="I336" s="16" t="n">
        <v>1</v>
      </c>
      <c r="J336" s="17" t="n">
        <v>78</v>
      </c>
      <c r="K336" s="17" t="n">
        <v>85.03</v>
      </c>
      <c r="L336" s="17" t="n">
        <v>25.86</v>
      </c>
      <c r="M336" s="17" t="n">
        <v>0</v>
      </c>
      <c r="N336" s="17">
        <f>K336*0.08+L336*0.08</f>
        <v/>
      </c>
      <c r="O336" s="17">
        <f>-(K336*0.025+L336*0.025)</f>
        <v/>
      </c>
      <c r="P336" s="17">
        <f>32</f>
        <v/>
      </c>
      <c r="Q336" s="17">
        <f>J336+L336+N336+O336-P336-M336</f>
        <v/>
      </c>
    </row>
    <row r="337">
      <c r="A337" s="16" t="inlineStr">
        <is>
          <t>5.22-5.28</t>
        </is>
      </c>
      <c r="B337" s="16" t="inlineStr">
        <is>
          <t>PO-128-11983227223672719</t>
        </is>
      </c>
      <c r="C337" s="16" t="inlineStr">
        <is>
          <t>Delivered</t>
        </is>
      </c>
      <c r="D337" s="16" t="inlineStr">
        <is>
          <t>128-11983237709432719</t>
        </is>
      </c>
      <c r="E337" s="16" t="inlineStr">
        <is>
          <t>Delivered</t>
        </is>
      </c>
      <c r="F337" s="16" t="inlineStr">
        <is>
          <t>MB-185N</t>
        </is>
      </c>
      <c r="G337" s="16" t="inlineStr">
        <is>
          <t>Bocina Radio FM/Reproductor, Compatible con Tarjeta TF, USB, Bluetooth, Aplicable para celular, computadora, Ipad y consola</t>
        </is>
      </c>
      <c r="H337" s="16" t="inlineStr">
        <is>
          <t>NEGRO/MB-185</t>
        </is>
      </c>
      <c r="I337" s="16" t="n">
        <v>1</v>
      </c>
      <c r="J337" s="17" t="n">
        <v>66</v>
      </c>
      <c r="K337" s="17" t="n">
        <v>59.21</v>
      </c>
      <c r="L337" s="17" t="n">
        <v>25.86</v>
      </c>
      <c r="M337" s="17" t="n">
        <v>0</v>
      </c>
      <c r="N337" s="17">
        <f>K337*0.08+L337*0.08</f>
        <v/>
      </c>
      <c r="O337" s="17">
        <f>-(K337*0.025+L337*0.025)</f>
        <v/>
      </c>
      <c r="P337" s="17">
        <f>32</f>
        <v/>
      </c>
      <c r="Q337" s="17">
        <f>J337+L337+N337+O337-P337-M337</f>
        <v/>
      </c>
    </row>
    <row r="338">
      <c r="A338" s="16" t="inlineStr">
        <is>
          <t>5.22-5.28</t>
        </is>
      </c>
      <c r="B338" s="16" t="inlineStr">
        <is>
          <t>PO-128-11788818698874068</t>
        </is>
      </c>
      <c r="C338" s="16" t="inlineStr">
        <is>
          <t>Delivered</t>
        </is>
      </c>
      <c r="D338" s="16" t="inlineStr">
        <is>
          <t>128-11788829184634068</t>
        </is>
      </c>
      <c r="E338" s="16" t="inlineStr">
        <is>
          <t>Delivered</t>
        </is>
      </c>
      <c r="F338" s="16" t="inlineStr">
        <is>
          <t>A500-R</t>
        </is>
      </c>
      <c r="G338" s="16" t="inlineStr">
        <is>
          <t>Bocina Bluetooth Portátil Barra de Sonido, Inalámbrica con FM Radio, TWS, USB/TF, Graves Potentes para Hogar y Exteriores</t>
        </is>
      </c>
      <c r="H338" s="16" t="inlineStr">
        <is>
          <t>ROIO</t>
        </is>
      </c>
      <c r="I338" s="16" t="n">
        <v>1</v>
      </c>
      <c r="J338" s="17" t="n">
        <v>78</v>
      </c>
      <c r="K338" s="17" t="n">
        <v>85.03</v>
      </c>
      <c r="L338" s="17" t="n">
        <v>25.86</v>
      </c>
      <c r="M338" s="17" t="n">
        <v>0</v>
      </c>
      <c r="N338" s="17">
        <f>K338*0.08+L338*0.08</f>
        <v/>
      </c>
      <c r="O338" s="17">
        <f>-(K338*0.025+L338*0.025)</f>
        <v/>
      </c>
      <c r="P338" s="17">
        <f>32</f>
        <v/>
      </c>
      <c r="Q338" s="17">
        <f>J338+L338+N338+O338-P338-M338</f>
        <v/>
      </c>
    </row>
    <row r="339">
      <c r="A339" s="16" t="inlineStr">
        <is>
          <t>5.22-5.28</t>
        </is>
      </c>
      <c r="B339" s="16" t="inlineStr">
        <is>
          <t>PO-128-11920576850552066</t>
        </is>
      </c>
      <c r="C339" s="16" t="inlineStr">
        <is>
          <t>Delivered</t>
        </is>
      </c>
      <c r="D339" s="16" t="inlineStr">
        <is>
          <t>128-11920582093432066</t>
        </is>
      </c>
      <c r="E339" s="16" t="inlineStr">
        <is>
          <t>Delivered</t>
        </is>
      </c>
      <c r="F339" s="16" t="inlineStr">
        <is>
          <t>A500-N</t>
        </is>
      </c>
      <c r="G339" s="16" t="inlineStr">
        <is>
          <t>Bocina Bluetooth Portátil Barra de Sonido, Inalámbrica con FM Radio, TWS, USB/TF, Graves Potentes para Hogar y Exteriores</t>
        </is>
      </c>
      <c r="H339" s="16" t="inlineStr">
        <is>
          <t>NEGRO</t>
        </is>
      </c>
      <c r="I339" s="16" t="n">
        <v>1</v>
      </c>
      <c r="J339" s="17" t="n">
        <v>78</v>
      </c>
      <c r="K339" s="17" t="n">
        <v>85.03</v>
      </c>
      <c r="L339" s="17" t="n">
        <v>25.86</v>
      </c>
      <c r="M339" s="17" t="n">
        <v>0</v>
      </c>
      <c r="N339" s="17">
        <f>K339*0.08+L339*0.08</f>
        <v/>
      </c>
      <c r="O339" s="17">
        <f>-(K339*0.025+L339*0.025)</f>
        <v/>
      </c>
      <c r="P339" s="17">
        <f>32</f>
        <v/>
      </c>
      <c r="Q339" s="17">
        <f>J339+L339+N339+O339-P339-M339</f>
        <v/>
      </c>
    </row>
    <row r="340">
      <c r="A340" s="16" t="inlineStr">
        <is>
          <t>5.22-5.28</t>
        </is>
      </c>
      <c r="B340" s="16" t="inlineStr">
        <is>
          <t>PO-128-11754762322553121</t>
        </is>
      </c>
      <c r="C340" s="16" t="inlineStr">
        <is>
          <t>Delivered</t>
        </is>
      </c>
      <c r="D340" s="16" t="inlineStr">
        <is>
          <t>128-11754720379513121</t>
        </is>
      </c>
      <c r="E340" s="16" t="inlineStr">
        <is>
          <t>Delivered</t>
        </is>
      </c>
      <c r="F340" s="16" t="inlineStr">
        <is>
          <t>A500-R</t>
        </is>
      </c>
      <c r="G340" s="16" t="inlineStr">
        <is>
          <t>Bocina Bluetooth Portátil Barra de Sonido, Inalámbrica con FM Radio, TWS, USB/TF, Graves Potentes para Hogar y Exteriores</t>
        </is>
      </c>
      <c r="H340" s="16" t="inlineStr">
        <is>
          <t>ROIO</t>
        </is>
      </c>
      <c r="I340" s="16" t="n">
        <v>1</v>
      </c>
      <c r="J340" s="17" t="n">
        <v>78</v>
      </c>
      <c r="K340" s="17" t="n">
        <v>85.03</v>
      </c>
      <c r="L340" s="17" t="n">
        <v>25.86</v>
      </c>
      <c r="M340" s="17" t="n">
        <v>0</v>
      </c>
      <c r="N340" s="17">
        <f>K340*0.08+L340*0.08</f>
        <v/>
      </c>
      <c r="O340" s="17">
        <f>-(K340*0.025+L340*0.025)</f>
        <v/>
      </c>
      <c r="P340" s="17">
        <f>32</f>
        <v/>
      </c>
      <c r="Q340" s="17">
        <f>J340+L340+N340+O340-P340-M340</f>
        <v/>
      </c>
    </row>
    <row r="341">
      <c r="A341" s="16" t="inlineStr">
        <is>
          <t>5.22-5.28</t>
        </is>
      </c>
      <c r="B341" s="16" t="inlineStr">
        <is>
          <t>PO-128-12104488494711098</t>
        </is>
      </c>
      <c r="C341" s="16" t="inlineStr">
        <is>
          <t>Delivered</t>
        </is>
      </c>
      <c r="D341" s="16" t="inlineStr">
        <is>
          <t>128-12104498980471098</t>
        </is>
      </c>
      <c r="E341" s="16" t="inlineStr">
        <is>
          <t>Delivered</t>
        </is>
      </c>
      <c r="F341" s="16" t="inlineStr">
        <is>
          <t>A500-A</t>
        </is>
      </c>
      <c r="G341" s="16" t="inlineStr">
        <is>
          <t>Bocina Bluetooth Portátil Barra de Sonido, Inalámbrica con FM Radio, TWS, USB/TF, Graves Potentes para Hogar y Exteriores</t>
        </is>
      </c>
      <c r="H341" s="16" t="inlineStr">
        <is>
          <t>AZUL</t>
        </is>
      </c>
      <c r="I341" s="16" t="n">
        <v>1</v>
      </c>
      <c r="J341" s="17" t="n">
        <v>72</v>
      </c>
      <c r="K341" s="17" t="n">
        <v>78.53</v>
      </c>
      <c r="L341" s="17" t="n">
        <v>25.86</v>
      </c>
      <c r="M341" s="17" t="n">
        <v>0</v>
      </c>
      <c r="N341" s="17">
        <f>K341*0.08+L341*0.08</f>
        <v/>
      </c>
      <c r="O341" s="17">
        <f>-(K341*0.025+L341*0.025)</f>
        <v/>
      </c>
      <c r="P341" s="17">
        <f>32</f>
        <v/>
      </c>
      <c r="Q341" s="17">
        <f>J341+L341+N341+O341-P341-M341</f>
        <v/>
      </c>
    </row>
    <row r="342">
      <c r="A342" s="16" t="inlineStr">
        <is>
          <t>5.22-5.28</t>
        </is>
      </c>
      <c r="B342" s="16" t="inlineStr">
        <is>
          <t>PO-128-12275635937910078</t>
        </is>
      </c>
      <c r="C342" s="16" t="inlineStr">
        <is>
          <t>Delivered</t>
        </is>
      </c>
      <c r="D342" s="16" t="inlineStr">
        <is>
          <t>128-12275593994870078</t>
        </is>
      </c>
      <c r="E342" s="16" t="inlineStr">
        <is>
          <t>Delivered</t>
        </is>
      </c>
      <c r="F342" s="16" t="inlineStr">
        <is>
          <t>MB-185N</t>
        </is>
      </c>
      <c r="G342" s="16" t="inlineStr">
        <is>
          <t>Bocina Radio FM/Reproductor, Compatible con Tarjeta TF, USB, Bluetooth, Aplicable para celular, computadora, Ipad y consola</t>
        </is>
      </c>
      <c r="H342" s="16" t="inlineStr">
        <is>
          <t>NEGRO/MB-185</t>
        </is>
      </c>
      <c r="I342" s="16" t="n">
        <v>1</v>
      </c>
      <c r="J342" s="17" t="n">
        <v>66</v>
      </c>
      <c r="K342" s="17" t="n">
        <v>78.94</v>
      </c>
      <c r="L342" s="17" t="n">
        <v>25.86</v>
      </c>
      <c r="M342" s="17" t="n">
        <v>0</v>
      </c>
      <c r="N342" s="17">
        <f>K342*0.08+L342*0.08</f>
        <v/>
      </c>
      <c r="O342" s="17">
        <f>-(K342*0.025+L342*0.025)</f>
        <v/>
      </c>
      <c r="P342" s="17">
        <f>32</f>
        <v/>
      </c>
      <c r="Q342" s="17">
        <f>J342+L342+N342+O342-P342-M342</f>
        <v/>
      </c>
    </row>
    <row r="343">
      <c r="A343" s="16" t="inlineStr">
        <is>
          <t>5.22-5.28</t>
        </is>
      </c>
      <c r="B343" s="16" t="inlineStr">
        <is>
          <t>PO-128-12048167368311306</t>
        </is>
      </c>
      <c r="C343" s="16" t="inlineStr">
        <is>
          <t>Delivered</t>
        </is>
      </c>
      <c r="D343" s="16" t="inlineStr">
        <is>
          <t>128-12048188339831306</t>
        </is>
      </c>
      <c r="E343" s="16" t="inlineStr">
        <is>
          <t>Delivered</t>
        </is>
      </c>
      <c r="F343" s="16" t="inlineStr">
        <is>
          <t>MB-185N</t>
        </is>
      </c>
      <c r="G343" s="16" t="inlineStr">
        <is>
          <t>Bocina Radio FM/Reproductor, Compatible con Tarjeta TF, USB, Bluetooth, Aplicable para celular, computadora, Ipad y consola</t>
        </is>
      </c>
      <c r="H343" s="16" t="inlineStr">
        <is>
          <t>NEGRO/MB-185</t>
        </is>
      </c>
      <c r="I343" s="16" t="n">
        <v>1</v>
      </c>
      <c r="J343" s="17" t="n">
        <v>66</v>
      </c>
      <c r="K343" s="17" t="n">
        <v>78.94</v>
      </c>
      <c r="L343" s="17" t="n">
        <v>25.86</v>
      </c>
      <c r="M343" s="17" t="n">
        <v>0</v>
      </c>
      <c r="N343" s="17">
        <f>K343*0.08+L343*0.08</f>
        <v/>
      </c>
      <c r="O343" s="17">
        <f>-(K343*0.025+L343*0.025)</f>
        <v/>
      </c>
      <c r="P343" s="17">
        <f>32</f>
        <v/>
      </c>
      <c r="Q343" s="17">
        <f>J343+L343+N343+O343-P343-M343</f>
        <v/>
      </c>
    </row>
    <row r="344">
      <c r="A344" s="16" t="inlineStr">
        <is>
          <t>5.22-5.28</t>
        </is>
      </c>
      <c r="B344" s="16" t="inlineStr">
        <is>
          <t>PO-128-12021958917752678</t>
        </is>
      </c>
      <c r="C344" s="16" t="inlineStr">
        <is>
          <t>Delivered</t>
        </is>
      </c>
      <c r="D344" s="16" t="inlineStr">
        <is>
          <t>128-12021937946232678</t>
        </is>
      </c>
      <c r="E344" s="16" t="inlineStr">
        <is>
          <t>Delivered</t>
        </is>
      </c>
      <c r="F344" s="16" t="inlineStr">
        <is>
          <t>A500-N</t>
        </is>
      </c>
      <c r="G344" s="16" t="inlineStr">
        <is>
          <t>Bocina Bluetooth Portátil Barra de Sonido, Inalámbrica con FM Radio, TWS, USB/TF, Graves Potentes para Hogar y Exteriores</t>
        </is>
      </c>
      <c r="H344" s="16" t="inlineStr">
        <is>
          <t>NEGRO</t>
        </is>
      </c>
      <c r="I344" s="16" t="n">
        <v>1</v>
      </c>
      <c r="J344" s="17" t="n">
        <v>78</v>
      </c>
      <c r="K344" s="17" t="n">
        <v>85.03</v>
      </c>
      <c r="L344" s="17" t="n">
        <v>25.86</v>
      </c>
      <c r="M344" s="17" t="n">
        <v>0</v>
      </c>
      <c r="N344" s="17">
        <f>K344*0.08+L344*0.08</f>
        <v/>
      </c>
      <c r="O344" s="17">
        <f>-(K344*0.025+L344*0.025)</f>
        <v/>
      </c>
      <c r="P344" s="17">
        <f>32</f>
        <v/>
      </c>
      <c r="Q344" s="17">
        <f>J344+L344+N344+O344-P344-M344</f>
        <v/>
      </c>
    </row>
    <row r="345">
      <c r="A345" s="16" t="inlineStr">
        <is>
          <t>5.22-5.28</t>
        </is>
      </c>
      <c r="B345" s="16" t="inlineStr">
        <is>
          <t>PO-128-12084288789111221</t>
        </is>
      </c>
      <c r="C345" s="16" t="inlineStr">
        <is>
          <t>Delivered</t>
        </is>
      </c>
      <c r="D345" s="16" t="inlineStr">
        <is>
          <t>128-12084246846071221</t>
        </is>
      </c>
      <c r="E345" s="16" t="inlineStr">
        <is>
          <t>Delivered</t>
        </is>
      </c>
      <c r="F345" s="16" t="inlineStr">
        <is>
          <t>A500-A</t>
        </is>
      </c>
      <c r="G345" s="16" t="inlineStr">
        <is>
          <t>Bocina Bluetooth Portátil Barra de Sonido, Inalámbrica con FM Radio, TWS, USB/TF, Graves Potentes para Hogar y Exteriores</t>
        </is>
      </c>
      <c r="H345" s="16" t="inlineStr">
        <is>
          <t>AZUL</t>
        </is>
      </c>
      <c r="I345" s="16" t="n">
        <v>1</v>
      </c>
      <c r="J345" s="17" t="n">
        <v>72</v>
      </c>
      <c r="K345" s="17" t="n">
        <v>78.53</v>
      </c>
      <c r="L345" s="17" t="n">
        <v>25.86</v>
      </c>
      <c r="M345" s="17" t="n">
        <v>0</v>
      </c>
      <c r="N345" s="17">
        <f>K345*0.08+L345*0.08</f>
        <v/>
      </c>
      <c r="O345" s="17">
        <f>-(K345*0.025+L345*0.025)</f>
        <v/>
      </c>
      <c r="P345" s="17">
        <f>32</f>
        <v/>
      </c>
      <c r="Q345" s="17">
        <f>J345+L345+N345+O345-P345-M345</f>
        <v/>
      </c>
    </row>
    <row r="346">
      <c r="A346" s="16" t="inlineStr">
        <is>
          <t>5.22-5.28</t>
        </is>
      </c>
      <c r="B346" s="16" t="inlineStr">
        <is>
          <t>PO-128-12184358584951582</t>
        </is>
      </c>
      <c r="C346" s="16" t="inlineStr">
        <is>
          <t>Delivered</t>
        </is>
      </c>
      <c r="D346" s="16" t="inlineStr">
        <is>
          <t>128-12184316641911582</t>
        </is>
      </c>
      <c r="E346" s="16" t="inlineStr">
        <is>
          <t>Delivered</t>
        </is>
      </c>
      <c r="F346" s="16" t="inlineStr">
        <is>
          <t>A500-N</t>
        </is>
      </c>
      <c r="G346" s="16" t="inlineStr">
        <is>
          <t>Bocina Bluetooth Portátil Barra de Sonido, Inalámbrica con FM Radio, TWS, USB/TF, Graves Potentes para Hogar y Exteriores</t>
        </is>
      </c>
      <c r="H346" s="16" t="inlineStr">
        <is>
          <t>NEGRO</t>
        </is>
      </c>
      <c r="I346" s="16" t="n">
        <v>2</v>
      </c>
      <c r="J346" s="17" t="n">
        <v>156</v>
      </c>
      <c r="K346" s="17" t="n">
        <v>170.06</v>
      </c>
      <c r="L346" s="17" t="n">
        <v>25.86</v>
      </c>
      <c r="M346" s="17" t="n">
        <v>0</v>
      </c>
      <c r="N346" s="17">
        <f>K346*0.08+L346*0.08</f>
        <v/>
      </c>
      <c r="O346" s="17">
        <f>-(K346*0.025+L346*0.025)</f>
        <v/>
      </c>
      <c r="P346" s="17">
        <f>32</f>
        <v/>
      </c>
      <c r="Q346" s="17">
        <f>J346+L346+N346+O346-P346-M346</f>
        <v/>
      </c>
    </row>
    <row r="347">
      <c r="A347" s="16" t="inlineStr">
        <is>
          <t>5.22-5.28</t>
        </is>
      </c>
      <c r="B347" s="16" t="inlineStr">
        <is>
          <t>PO-128-00822157507193770</t>
        </is>
      </c>
      <c r="C347" s="16" t="inlineStr">
        <is>
          <t>Delivered</t>
        </is>
      </c>
      <c r="D347" s="16" t="inlineStr">
        <is>
          <t>128-00822199450233770</t>
        </is>
      </c>
      <c r="E347" s="16" t="inlineStr">
        <is>
          <t>Delivered</t>
        </is>
      </c>
      <c r="F347" s="16" t="inlineStr">
        <is>
          <t>A500-N</t>
        </is>
      </c>
      <c r="G347" s="16" t="inlineStr">
        <is>
          <t>Bocina Bluetooth Portátil Barra de Sonido, Inalámbrica con FM Radio, TWS, USB/TF, Graves Potentes para Hogar y Exteriores</t>
        </is>
      </c>
      <c r="H347" s="16" t="inlineStr">
        <is>
          <t>NEGRO</t>
        </is>
      </c>
      <c r="I347" s="16" t="n">
        <v>1</v>
      </c>
      <c r="J347" s="17" t="n">
        <v>78</v>
      </c>
      <c r="K347" s="17" t="n">
        <v>85.03</v>
      </c>
      <c r="L347" s="17" t="n">
        <v>25.86</v>
      </c>
      <c r="M347" s="17" t="n">
        <v>0</v>
      </c>
      <c r="N347" s="17">
        <f>K347*0.08+L347*0.08</f>
        <v/>
      </c>
      <c r="O347" s="17">
        <f>-(K347*0.025+L347*0.025)</f>
        <v/>
      </c>
      <c r="P347" s="17">
        <f>32</f>
        <v/>
      </c>
      <c r="Q347" s="17">
        <f>J347+L347+N347+O347-P347-M347</f>
        <v/>
      </c>
    </row>
    <row r="348">
      <c r="A348" s="16" t="inlineStr">
        <is>
          <t>5.22-5.28</t>
        </is>
      </c>
      <c r="B348" s="16" t="inlineStr">
        <is>
          <t>PO-128-01118383637111940</t>
        </is>
      </c>
      <c r="C348" s="16" t="inlineStr">
        <is>
          <t>Delivered</t>
        </is>
      </c>
      <c r="D348" s="16" t="inlineStr">
        <is>
          <t>128-01118394122871940</t>
        </is>
      </c>
      <c r="E348" s="16" t="inlineStr">
        <is>
          <t>Delivered</t>
        </is>
      </c>
      <c r="F348" s="16" t="inlineStr">
        <is>
          <t>A500-N</t>
        </is>
      </c>
      <c r="G348" s="16" t="inlineStr">
        <is>
          <t>Bocina Bluetooth Portátil Barra de Sonido, Inalámbrica con FM Radio, TWS, USB/TF, Graves Potentes para Hogar y Exteriores</t>
        </is>
      </c>
      <c r="H348" s="16" t="inlineStr">
        <is>
          <t>NEGRO</t>
        </is>
      </c>
      <c r="I348" s="16" t="n">
        <v>1</v>
      </c>
      <c r="J348" s="17" t="n">
        <v>78</v>
      </c>
      <c r="K348" s="17" t="n">
        <v>85.03</v>
      </c>
      <c r="L348" s="17" t="n">
        <v>25.86</v>
      </c>
      <c r="M348" s="17" t="n">
        <v>0</v>
      </c>
      <c r="N348" s="17">
        <f>K348*0.08+L348*0.08</f>
        <v/>
      </c>
      <c r="O348" s="17">
        <f>-(K348*0.025+L348*0.025)</f>
        <v/>
      </c>
      <c r="P348" s="17">
        <f>32</f>
        <v/>
      </c>
      <c r="Q348" s="17">
        <f>J348+L348+N348+O348-P348-M348</f>
        <v/>
      </c>
    </row>
    <row r="349">
      <c r="A349" s="16" t="inlineStr">
        <is>
          <t>5.22-5.28</t>
        </is>
      </c>
      <c r="B349" s="16" t="inlineStr">
        <is>
          <t>PO-128-01110546463351093</t>
        </is>
      </c>
      <c r="C349" s="16" t="inlineStr">
        <is>
          <t>Delivered</t>
        </is>
      </c>
      <c r="D349" s="16" t="inlineStr">
        <is>
          <t>128-01110535977591093</t>
        </is>
      </c>
      <c r="E349" s="16" t="inlineStr">
        <is>
          <t>Delivered</t>
        </is>
      </c>
      <c r="F349" s="16" t="inlineStr">
        <is>
          <t>A500-A</t>
        </is>
      </c>
      <c r="G349" s="16" t="inlineStr">
        <is>
          <t>Bocina Bluetooth Portátil Barra de Sonido, Inalámbrica con FM Radio, TWS, USB/TF, Graves Potentes para Hogar y Exteriores</t>
        </is>
      </c>
      <c r="H349" s="16" t="inlineStr">
        <is>
          <t>AZUL</t>
        </is>
      </c>
      <c r="I349" s="16" t="n">
        <v>1</v>
      </c>
      <c r="J349" s="17" t="n">
        <v>72</v>
      </c>
      <c r="K349" s="17" t="n">
        <v>78.53</v>
      </c>
      <c r="L349" s="17" t="n">
        <v>12.41</v>
      </c>
      <c r="M349" s="17" t="n">
        <v>0</v>
      </c>
      <c r="N349" s="17">
        <f>K349*0.08+L349*0.08</f>
        <v/>
      </c>
      <c r="O349" s="17">
        <f>-(K349*0.025+L349*0.025)</f>
        <v/>
      </c>
      <c r="P349" s="17">
        <f>32</f>
        <v/>
      </c>
      <c r="Q349" s="17">
        <f>J349+L349+N349+O349-P349-M349</f>
        <v/>
      </c>
    </row>
    <row r="350">
      <c r="A350" s="16" t="inlineStr">
        <is>
          <t>5.22-5.28</t>
        </is>
      </c>
      <c r="B350" s="16" t="inlineStr">
        <is>
          <t>PO-128-01110546463351093</t>
        </is>
      </c>
      <c r="C350" s="16" t="inlineStr">
        <is>
          <t>Delivered</t>
        </is>
      </c>
      <c r="D350" s="16" t="inlineStr">
        <is>
          <t>128-01110515006071093</t>
        </is>
      </c>
      <c r="E350" s="16" t="inlineStr">
        <is>
          <t>Delivered</t>
        </is>
      </c>
      <c r="F350" s="16" t="inlineStr">
        <is>
          <t>A500-N</t>
        </is>
      </c>
      <c r="G350" s="16" t="inlineStr">
        <is>
          <t>Bocina Bluetooth Portátil Barra de Sonido, Inalámbrica con FM Radio, TWS, USB/TF, Graves Potentes para Hogar y Exteriores</t>
        </is>
      </c>
      <c r="H350" s="16" t="inlineStr">
        <is>
          <t>NEGRO</t>
        </is>
      </c>
      <c r="I350" s="16" t="n">
        <v>1</v>
      </c>
      <c r="J350" s="17" t="n">
        <v>78</v>
      </c>
      <c r="K350" s="17" t="n">
        <v>85.03</v>
      </c>
      <c r="L350" s="17" t="n">
        <v>13.45</v>
      </c>
      <c r="M350" s="17" t="n">
        <v>0</v>
      </c>
      <c r="N350" s="17">
        <f>K350*0.08+L350*0.08</f>
        <v/>
      </c>
      <c r="O350" s="17">
        <f>-(K350*0.025+L350*0.025)</f>
        <v/>
      </c>
      <c r="P350" s="17">
        <f>32</f>
        <v/>
      </c>
      <c r="Q350" s="17">
        <f>J350+L350+N350+O350-P350-M350</f>
        <v/>
      </c>
    </row>
    <row r="351">
      <c r="A351" s="16" t="inlineStr">
        <is>
          <t>5.22-5.28</t>
        </is>
      </c>
      <c r="B351" s="16" t="inlineStr">
        <is>
          <t>PO-128-01361665889910554</t>
        </is>
      </c>
      <c r="C351" s="16" t="inlineStr">
        <is>
          <t>Delivered</t>
        </is>
      </c>
      <c r="D351" s="16" t="inlineStr">
        <is>
          <t>128-01361770747510554</t>
        </is>
      </c>
      <c r="E351" s="16" t="inlineStr">
        <is>
          <t>Delivered</t>
        </is>
      </c>
      <c r="F351" s="16" t="inlineStr">
        <is>
          <t>A500-N</t>
        </is>
      </c>
      <c r="G351" s="16" t="inlineStr">
        <is>
          <t>Bocina Bluetooth Portátil Barra de Sonido, Inalámbrica con FM Radio, TWS, USB/TF, Graves Potentes para Hogar y Exteriores</t>
        </is>
      </c>
      <c r="H351" s="16" t="inlineStr">
        <is>
          <t>NEGRO</t>
        </is>
      </c>
      <c r="I351" s="16" t="n">
        <v>1</v>
      </c>
      <c r="J351" s="17" t="n">
        <v>78</v>
      </c>
      <c r="K351" s="17" t="n">
        <v>85.03</v>
      </c>
      <c r="L351" s="17" t="n">
        <v>25.86</v>
      </c>
      <c r="M351" s="17" t="n">
        <v>0</v>
      </c>
      <c r="N351" s="17">
        <f>K351*0.08+L351*0.08</f>
        <v/>
      </c>
      <c r="O351" s="17">
        <f>-(K351*0.025+L351*0.025)</f>
        <v/>
      </c>
      <c r="P351" s="17">
        <f>32</f>
        <v/>
      </c>
      <c r="Q351" s="17">
        <f>J351+L351+N351+O351-P351-M351</f>
        <v/>
      </c>
    </row>
    <row r="352">
      <c r="A352" s="16" t="inlineStr">
        <is>
          <t>5.22-5.28</t>
        </is>
      </c>
      <c r="B352" s="16" t="inlineStr">
        <is>
          <t>PO-128-01008133632632790</t>
        </is>
      </c>
      <c r="C352" s="16" t="inlineStr">
        <is>
          <t>Delivered</t>
        </is>
      </c>
      <c r="D352" s="16" t="inlineStr">
        <is>
          <t>128-01008028775032790</t>
        </is>
      </c>
      <c r="E352" s="16" t="inlineStr">
        <is>
          <t>Delivered</t>
        </is>
      </c>
      <c r="F352" s="16" t="inlineStr">
        <is>
          <t>SA320T-R</t>
        </is>
      </c>
      <c r="G352" s="16" t="inlineStr">
        <is>
          <t>Altavoz inalámbrico portátil con Luces RGB, Radio FM y Manija - 5h Duración, TWS, TF Card, Compacto y Recargable via USB，Perfecto para viajes, fiestas y gaming</t>
        </is>
      </c>
      <c r="H352" s="16" t="inlineStr">
        <is>
          <t>rojo</t>
        </is>
      </c>
      <c r="I352" s="16" t="n">
        <v>1</v>
      </c>
      <c r="J352" s="17" t="n">
        <v>60</v>
      </c>
      <c r="K352" s="17" t="n">
        <v>70.72</v>
      </c>
      <c r="L352" s="17" t="n">
        <v>0</v>
      </c>
      <c r="M352" s="17" t="n">
        <v>0</v>
      </c>
      <c r="N352" s="17">
        <f>K352*0.08+L352*0.08</f>
        <v/>
      </c>
      <c r="O352" s="17">
        <f>-(K352*0.025+L352*0.025)</f>
        <v/>
      </c>
      <c r="P352" s="17">
        <f>32</f>
        <v/>
      </c>
      <c r="Q352" s="17">
        <f>J352+L352+N352+O352-P352-M352</f>
        <v/>
      </c>
    </row>
    <row r="353">
      <c r="A353" s="16" t="inlineStr">
        <is>
          <t>5.22-5.28</t>
        </is>
      </c>
      <c r="B353" s="16" t="inlineStr">
        <is>
          <t>PO-128-01008133632632790</t>
        </is>
      </c>
      <c r="C353" s="16" t="inlineStr">
        <is>
          <t>Delivered</t>
        </is>
      </c>
      <c r="D353" s="16" t="inlineStr">
        <is>
          <t>128-01008070718072790</t>
        </is>
      </c>
      <c r="E353" s="16" t="inlineStr">
        <is>
          <t>Delivered</t>
        </is>
      </c>
      <c r="F353" s="16" t="inlineStr">
        <is>
          <t>SA320T-P</t>
        </is>
      </c>
      <c r="G353" s="16" t="inlineStr">
        <is>
          <t>Altavoz inalámbrico portátil con Luces RGB, Radio FM y Manija - 5h Duración, TWS, TF Card, Compacto y Recargable via USB，Perfecto para viajes, fiestas y gaming</t>
        </is>
      </c>
      <c r="H353" s="16" t="inlineStr">
        <is>
          <t>rosa</t>
        </is>
      </c>
      <c r="I353" s="16" t="n">
        <v>1</v>
      </c>
      <c r="J353" s="17" t="n">
        <v>57</v>
      </c>
      <c r="K353" s="17" t="n">
        <v>67.72</v>
      </c>
      <c r="L353" s="17" t="n">
        <v>0</v>
      </c>
      <c r="M353" s="17" t="n">
        <v>0</v>
      </c>
      <c r="N353" s="17">
        <f>K353*0.08+L353*0.08</f>
        <v/>
      </c>
      <c r="O353" s="17">
        <f>-(K353*0.025+L353*0.025)</f>
        <v/>
      </c>
      <c r="P353" s="17">
        <f>32</f>
        <v/>
      </c>
      <c r="Q353" s="17">
        <f>J353+L353+N353+O353-P353-M353</f>
        <v/>
      </c>
    </row>
    <row r="354">
      <c r="A354" s="16" t="inlineStr">
        <is>
          <t>5.22-5.28</t>
        </is>
      </c>
      <c r="B354" s="16" t="inlineStr">
        <is>
          <t>PO-128-01008133632632790</t>
        </is>
      </c>
      <c r="C354" s="16" t="inlineStr">
        <is>
          <t>Delivered</t>
        </is>
      </c>
      <c r="D354" s="16" t="inlineStr">
        <is>
          <t>128-01008049746552790</t>
        </is>
      </c>
      <c r="E354" s="16" t="inlineStr">
        <is>
          <t>Delivered</t>
        </is>
      </c>
      <c r="F354" s="16" t="inlineStr">
        <is>
          <t>SA320T-N</t>
        </is>
      </c>
      <c r="G354" s="16" t="inlineStr">
        <is>
          <t>Altavoz inalámbrico portátil con Luces RGB, Radio FM y Manija - 5h Duración, TWS, TF Card, Compacto y Recargable via USB，Perfecto para viajes, fiestas y gaming</t>
        </is>
      </c>
      <c r="H354" s="16" t="inlineStr">
        <is>
          <t>negro</t>
        </is>
      </c>
      <c r="I354" s="16" t="n">
        <v>1</v>
      </c>
      <c r="J354" s="17" t="n">
        <v>60</v>
      </c>
      <c r="K354" s="17" t="n">
        <v>70.72</v>
      </c>
      <c r="L354" s="17" t="n">
        <v>0</v>
      </c>
      <c r="M354" s="17" t="n">
        <v>0</v>
      </c>
      <c r="N354" s="17">
        <f>K354*0.08+L354*0.08</f>
        <v/>
      </c>
      <c r="O354" s="17">
        <f>-(K354*0.025+L354*0.025)</f>
        <v/>
      </c>
      <c r="P354" s="17">
        <f>32</f>
        <v/>
      </c>
      <c r="Q354" s="17">
        <f>J354+L354+N354+O354-P354-M354</f>
        <v/>
      </c>
    </row>
    <row r="355">
      <c r="A355" s="16" t="inlineStr">
        <is>
          <t>5.22-5.28</t>
        </is>
      </c>
      <c r="B355" s="16" t="inlineStr">
        <is>
          <t>PO-128-01008133632632790</t>
        </is>
      </c>
      <c r="C355" s="16" t="inlineStr">
        <is>
          <t>Delivered</t>
        </is>
      </c>
      <c r="D355" s="16" t="inlineStr">
        <is>
          <t>128-01008112661112790</t>
        </is>
      </c>
      <c r="E355" s="16" t="inlineStr">
        <is>
          <t>Delivered</t>
        </is>
      </c>
      <c r="F355" s="16" t="inlineStr">
        <is>
          <t>MB-185A</t>
        </is>
      </c>
      <c r="G355" s="16" t="inlineStr">
        <is>
          <t>Bocina Radio FM/Reproductor, Compatible con Tarjeta TF, USB, Bluetooth, Aplicable para celular, computadora, Ipad y consola</t>
        </is>
      </c>
      <c r="H355" s="16" t="inlineStr">
        <is>
          <t>AZUL/MB-185</t>
        </is>
      </c>
      <c r="I355" s="16" t="n">
        <v>1</v>
      </c>
      <c r="J355" s="17" t="n">
        <v>66</v>
      </c>
      <c r="K355" s="17" t="n">
        <v>78.94</v>
      </c>
      <c r="L355" s="17" t="n">
        <v>0</v>
      </c>
      <c r="M355" s="17" t="n">
        <v>0</v>
      </c>
      <c r="N355" s="17">
        <f>K355*0.08+L355*0.08</f>
        <v/>
      </c>
      <c r="O355" s="17">
        <f>-(K355*0.025+L355*0.025)</f>
        <v/>
      </c>
      <c r="P355" s="17">
        <f>32</f>
        <v/>
      </c>
      <c r="Q355" s="17">
        <f>J355+L355+N355+O355-P355-M355</f>
        <v/>
      </c>
    </row>
    <row r="356">
      <c r="A356" s="16" t="inlineStr">
        <is>
          <t>5.22-5.28</t>
        </is>
      </c>
      <c r="B356" s="16" t="inlineStr">
        <is>
          <t>PO-128-01008133632632790</t>
        </is>
      </c>
      <c r="C356" s="16" t="inlineStr">
        <is>
          <t>Delivered</t>
        </is>
      </c>
      <c r="D356" s="16" t="inlineStr">
        <is>
          <t>128-01008007803512790</t>
        </is>
      </c>
      <c r="E356" s="16" t="inlineStr">
        <is>
          <t>Delivered</t>
        </is>
      </c>
      <c r="F356" s="16" t="inlineStr">
        <is>
          <t>MB-185N</t>
        </is>
      </c>
      <c r="G356" s="16" t="inlineStr">
        <is>
          <t>Bocina Radio FM/Reproductor, Compatible con Tarjeta TF, USB, Bluetooth, Aplicable para celular, computadora, Ipad y consola</t>
        </is>
      </c>
      <c r="H356" s="16" t="inlineStr">
        <is>
          <t>NEGRO/MB-185</t>
        </is>
      </c>
      <c r="I356" s="16" t="n">
        <v>2</v>
      </c>
      <c r="J356" s="17" t="n">
        <v>132</v>
      </c>
      <c r="K356" s="17" t="n">
        <v>157.88</v>
      </c>
      <c r="L356" s="17" t="n">
        <v>0</v>
      </c>
      <c r="M356" s="17" t="n">
        <v>0</v>
      </c>
      <c r="N356" s="17">
        <f>K356*0.08+L356*0.08</f>
        <v/>
      </c>
      <c r="O356" s="17">
        <f>-(K356*0.025+L356*0.025)</f>
        <v/>
      </c>
      <c r="P356" s="17">
        <f>32</f>
        <v/>
      </c>
      <c r="Q356" s="17">
        <f>J356+L356+N356+O356-P356-M356</f>
        <v/>
      </c>
    </row>
    <row r="357">
      <c r="A357" s="16" t="inlineStr">
        <is>
          <t>5.22-5.28</t>
        </is>
      </c>
      <c r="B357" s="16" t="inlineStr">
        <is>
          <t>PO-128-01008133632632790</t>
        </is>
      </c>
      <c r="C357" s="16" t="inlineStr">
        <is>
          <t>Delivered</t>
        </is>
      </c>
      <c r="D357" s="16" t="inlineStr">
        <is>
          <t>128-01008091689592790</t>
        </is>
      </c>
      <c r="E357" s="16" t="inlineStr">
        <is>
          <t>Delivered</t>
        </is>
      </c>
      <c r="F357" s="16" t="inlineStr">
        <is>
          <t>MB-183N</t>
        </is>
      </c>
      <c r="G357" s="16" t="inlineStr">
        <is>
          <t>Linkbits Altavoz Bluetooth Portátil con Stereo Inalámbrico TWS Impermeable y a Prueba de Polvo IP65 Altavoz de Graves de Rango Completo de 52mm con Doble Unidad Ligero de 215g para Camping Senderismo y Fiestas al Aire Libre</t>
        </is>
      </c>
      <c r="H357" s="16" t="inlineStr">
        <is>
          <t>NEGRO/MB-183</t>
        </is>
      </c>
      <c r="I357" s="16" t="n">
        <v>1</v>
      </c>
      <c r="J357" s="17" t="n">
        <v>80</v>
      </c>
      <c r="K357" s="17" t="n">
        <v>97.38</v>
      </c>
      <c r="L357" s="17" t="n">
        <v>0</v>
      </c>
      <c r="M357" s="17" t="n">
        <v>0</v>
      </c>
      <c r="N357" s="17">
        <f>K357*0.08+L357*0.08</f>
        <v/>
      </c>
      <c r="O357" s="17">
        <f>-(K357*0.025+L357*0.025)</f>
        <v/>
      </c>
      <c r="P357" s="17">
        <f>32</f>
        <v/>
      </c>
      <c r="Q357" s="17">
        <f>J357+L357+N357+O357-P357-M357</f>
        <v/>
      </c>
    </row>
    <row r="358">
      <c r="A358" s="16" t="inlineStr">
        <is>
          <t>5.22-5.28</t>
        </is>
      </c>
      <c r="B358" s="16" t="inlineStr">
        <is>
          <t>PO-128-01268767099510020</t>
        </is>
      </c>
      <c r="C358" s="16" t="inlineStr">
        <is>
          <t>Delivered</t>
        </is>
      </c>
      <c r="D358" s="16" t="inlineStr">
        <is>
          <t>128-01268714670710020</t>
        </is>
      </c>
      <c r="E358" s="16" t="inlineStr">
        <is>
          <t>Delivered</t>
        </is>
      </c>
      <c r="F358" s="16" t="inlineStr">
        <is>
          <t>MB-184R</t>
        </is>
      </c>
      <c r="G358" s="16" t="inlineStr">
        <is>
          <t>Linkbits Portable Bluetooth Speaker - 800W Peak Power, 50W Full-Range Audio with Dual Bass System &amp; Deep Bass Membranes, Powerful &amp; Distortion-Free Sound, IP65 Waterproof Dustproof, TWS Support &amp; 6H Battery for Outdoor/Party</t>
        </is>
      </c>
      <c r="H358" s="16" t="inlineStr">
        <is>
          <t>ROJO/MB-184</t>
        </is>
      </c>
      <c r="I358" s="16" t="n">
        <v>1</v>
      </c>
      <c r="J358" s="17" t="n">
        <v>592</v>
      </c>
      <c r="K358" s="17" t="n">
        <v>701.61</v>
      </c>
      <c r="L358" s="17" t="n">
        <v>0</v>
      </c>
      <c r="M358" s="17" t="n">
        <v>0</v>
      </c>
      <c r="N358" s="17">
        <f>K358*0.08+L358*0.08</f>
        <v/>
      </c>
      <c r="O358" s="17">
        <f>-(K358*0.025+L358*0.025)</f>
        <v/>
      </c>
      <c r="P358" s="17">
        <f>32</f>
        <v/>
      </c>
      <c r="Q358" s="17">
        <f>J358+L358+N358+O358-P358-M358</f>
        <v/>
      </c>
    </row>
    <row r="359">
      <c r="A359" s="16" t="inlineStr">
        <is>
          <t>5.22-5.28</t>
        </is>
      </c>
      <c r="B359" s="16" t="inlineStr">
        <is>
          <t>PO-128-00703694341753580</t>
        </is>
      </c>
      <c r="C359" s="16" t="inlineStr">
        <is>
          <t>Delivered</t>
        </is>
      </c>
      <c r="D359" s="16" t="inlineStr">
        <is>
          <t>128-00703736284793580</t>
        </is>
      </c>
      <c r="E359" s="16" t="inlineStr">
        <is>
          <t>Delivered</t>
        </is>
      </c>
      <c r="F359" s="16" t="inlineStr">
        <is>
          <t>MB-184N</t>
        </is>
      </c>
      <c r="G359" s="16" t="inlineStr">
        <is>
          <t>Linkbits Portable Bluetooth Speaker - 800W Peak Power, 50W Full-Range Audio with Dual Bass System &amp; Deep Bass Membranes, Powerful &amp; Distortion-Free Sound, IP65 Waterproof Dustproof, TWS Support &amp; 6H Battery for Outdoor/Party</t>
        </is>
      </c>
      <c r="H359" s="16" t="inlineStr">
        <is>
          <t>NEGRO/MB-184</t>
        </is>
      </c>
      <c r="I359" s="16" t="n">
        <v>1</v>
      </c>
      <c r="J359" s="17" t="n">
        <v>588</v>
      </c>
      <c r="K359" s="17" t="n">
        <v>592.97</v>
      </c>
      <c r="L359" s="17" t="n">
        <v>0</v>
      </c>
      <c r="M359" s="17" t="n">
        <v>0</v>
      </c>
      <c r="N359" s="17">
        <f>K359*0.08+L359*0.08</f>
        <v/>
      </c>
      <c r="O359" s="17">
        <f>-(K359*0.025+L359*0.025)</f>
        <v/>
      </c>
      <c r="P359" s="17">
        <f>32</f>
        <v/>
      </c>
      <c r="Q359" s="17">
        <f>J359+L359+N359+O359-P359-M359</f>
        <v/>
      </c>
    </row>
    <row r="360">
      <c r="A360" s="16" t="inlineStr">
        <is>
          <t>5.22-5.28</t>
        </is>
      </c>
      <c r="B360" s="16" t="inlineStr">
        <is>
          <t>PO-128-01007864725112793</t>
        </is>
      </c>
      <c r="C360" s="16" t="inlineStr">
        <is>
          <t>Delivered</t>
        </is>
      </c>
      <c r="D360" s="16" t="inlineStr">
        <is>
          <t>128-01007906668152793</t>
        </is>
      </c>
      <c r="E360" s="16" t="inlineStr">
        <is>
          <t>Delivered</t>
        </is>
      </c>
      <c r="F360" s="16" t="inlineStr">
        <is>
          <t>A500-N</t>
        </is>
      </c>
      <c r="G360" s="16" t="inlineStr">
        <is>
          <t>Bocina Bluetooth Portátil Barra de Sonido, Inalámbrica con FM Radio, TWS, USB/TF, Graves Potentes para Hogar y Exteriores</t>
        </is>
      </c>
      <c r="H360" s="16" t="inlineStr">
        <is>
          <t>NEGRO</t>
        </is>
      </c>
      <c r="I360" s="16" t="n">
        <v>1</v>
      </c>
      <c r="J360" s="17" t="n">
        <v>78</v>
      </c>
      <c r="K360" s="17" t="n">
        <v>85.03</v>
      </c>
      <c r="L360" s="17" t="n">
        <v>25.86</v>
      </c>
      <c r="M360" s="17" t="n">
        <v>0</v>
      </c>
      <c r="N360" s="17">
        <f>K360*0.08+L360*0.08</f>
        <v/>
      </c>
      <c r="O360" s="17">
        <f>-(K360*0.025+L360*0.025)</f>
        <v/>
      </c>
      <c r="P360" s="17">
        <f>32</f>
        <v/>
      </c>
      <c r="Q360" s="17">
        <f>J360+L360+N360+O360-P360-M360</f>
        <v/>
      </c>
    </row>
    <row r="361">
      <c r="A361" s="16" t="inlineStr">
        <is>
          <t>5.22-5.28</t>
        </is>
      </c>
      <c r="B361" s="16" t="inlineStr">
        <is>
          <t>PO-128-01360502958710563</t>
        </is>
      </c>
      <c r="C361" s="16" t="inlineStr">
        <is>
          <t>Delivered</t>
        </is>
      </c>
      <c r="D361" s="16" t="inlineStr">
        <is>
          <t>128-01360607816310563</t>
        </is>
      </c>
      <c r="E361" s="16" t="inlineStr">
        <is>
          <t>Delivered</t>
        </is>
      </c>
      <c r="F361" s="16" t="inlineStr">
        <is>
          <t>A500-N</t>
        </is>
      </c>
      <c r="G361" s="16" t="inlineStr">
        <is>
          <t>Bocina Bluetooth Portátil Barra de Sonido, Inalámbrica con FM Radio, TWS, USB/TF, Graves Potentes para Hogar y Exteriores</t>
        </is>
      </c>
      <c r="H361" s="16" t="inlineStr">
        <is>
          <t>NEGRO</t>
        </is>
      </c>
      <c r="I361" s="16" t="n">
        <v>1</v>
      </c>
      <c r="J361" s="17" t="n">
        <v>78</v>
      </c>
      <c r="K361" s="17" t="n">
        <v>85.03</v>
      </c>
      <c r="L361" s="17" t="n">
        <v>25.86</v>
      </c>
      <c r="M361" s="17" t="n">
        <v>0</v>
      </c>
      <c r="N361" s="17">
        <f>K361*0.08+L361*0.08</f>
        <v/>
      </c>
      <c r="O361" s="17">
        <f>-(K361*0.025+L361*0.025)</f>
        <v/>
      </c>
      <c r="P361" s="17">
        <f>32</f>
        <v/>
      </c>
      <c r="Q361" s="17">
        <f>J361+L361+N361+O361-P361-M361</f>
        <v/>
      </c>
    </row>
    <row r="362">
      <c r="A362" s="16" t="inlineStr">
        <is>
          <t>5.22-5.28</t>
        </is>
      </c>
      <c r="B362" s="16" t="inlineStr">
        <is>
          <t>PO-128-01292550759030902</t>
        </is>
      </c>
      <c r="C362" s="16" t="inlineStr">
        <is>
          <t>Delivered</t>
        </is>
      </c>
      <c r="D362" s="16" t="inlineStr">
        <is>
          <t>128-01292540273270902</t>
        </is>
      </c>
      <c r="E362" s="16" t="inlineStr">
        <is>
          <t>Delivered</t>
        </is>
      </c>
      <c r="F362" s="16" t="inlineStr">
        <is>
          <t>A500-N</t>
        </is>
      </c>
      <c r="G362" s="16" t="inlineStr">
        <is>
          <t>Bocina Bluetooth Portátil Barra de Sonido, Inalámbrica con FM Radio, TWS, USB/TF, Graves Potentes para Hogar y Exteriores</t>
        </is>
      </c>
      <c r="H362" s="16" t="inlineStr">
        <is>
          <t>NEGRO</t>
        </is>
      </c>
      <c r="I362" s="16" t="n">
        <v>1</v>
      </c>
      <c r="J362" s="17" t="n">
        <v>78</v>
      </c>
      <c r="K362" s="17" t="n">
        <v>85.03</v>
      </c>
      <c r="L362" s="17" t="n">
        <v>25.86</v>
      </c>
      <c r="M362" s="17" t="n">
        <v>0</v>
      </c>
      <c r="N362" s="17">
        <f>K362*0.08+L362*0.08</f>
        <v/>
      </c>
      <c r="O362" s="17">
        <f>-(K362*0.025+L362*0.025)</f>
        <v/>
      </c>
      <c r="P362" s="17">
        <f>32</f>
        <v/>
      </c>
      <c r="Q362" s="17">
        <f>J362+L362+N362+O362-P362-M362</f>
        <v/>
      </c>
    </row>
    <row r="363">
      <c r="A363" s="16" t="inlineStr">
        <is>
          <t>5.22-5.28</t>
        </is>
      </c>
      <c r="B363" s="16" t="inlineStr">
        <is>
          <t>PO-128-00992158679672695</t>
        </is>
      </c>
      <c r="C363" s="16" t="inlineStr">
        <is>
          <t>Delivered</t>
        </is>
      </c>
      <c r="D363" s="16" t="inlineStr">
        <is>
          <t>128-00992179651192695</t>
        </is>
      </c>
      <c r="E363" s="16" t="inlineStr">
        <is>
          <t>Delivered</t>
        </is>
      </c>
      <c r="F363" s="16" t="inlineStr">
        <is>
          <t>A500-N</t>
        </is>
      </c>
      <c r="G363" s="16" t="inlineStr">
        <is>
          <t>Bocina Bluetooth Portátil Barra de Sonido, Inalámbrica con FM Radio, TWS, USB/TF, Graves Potentes para Hogar y Exteriores</t>
        </is>
      </c>
      <c r="H363" s="16" t="inlineStr">
        <is>
          <t>NEGRO</t>
        </is>
      </c>
      <c r="I363" s="16" t="n">
        <v>1</v>
      </c>
      <c r="J363" s="17" t="n">
        <v>78</v>
      </c>
      <c r="K363" s="17" t="n">
        <v>85.03</v>
      </c>
      <c r="L363" s="17" t="n">
        <v>25.86</v>
      </c>
      <c r="M363" s="17" t="n">
        <v>0</v>
      </c>
      <c r="N363" s="17">
        <f>K363*0.08+L363*0.08</f>
        <v/>
      </c>
      <c r="O363" s="17">
        <f>-(K363*0.025+L363*0.025)</f>
        <v/>
      </c>
      <c r="P363" s="17">
        <f>32</f>
        <v/>
      </c>
      <c r="Q363" s="17">
        <f>J363+L363+N363+O363-P363-M363</f>
        <v/>
      </c>
    </row>
    <row r="364">
      <c r="A364" s="16" t="inlineStr">
        <is>
          <t>5.22-5.28</t>
        </is>
      </c>
      <c r="B364" s="16" t="inlineStr">
        <is>
          <t>PO-128-00951350303353000</t>
        </is>
      </c>
      <c r="C364" s="16" t="inlineStr">
        <is>
          <t>Delivered</t>
        </is>
      </c>
      <c r="D364" s="16" t="inlineStr">
        <is>
          <t>128-00951392246393000</t>
        </is>
      </c>
      <c r="E364" s="16" t="inlineStr">
        <is>
          <t>Delivered</t>
        </is>
      </c>
      <c r="F364" s="16" t="inlineStr">
        <is>
          <t>A500-A</t>
        </is>
      </c>
      <c r="G364" s="16" t="inlineStr">
        <is>
          <t>Bocina Bluetooth Portátil Barra de Sonido, Inalámbrica con FM Radio, TWS, USB/TF, Graves Potentes para Hogar y Exteriores</t>
        </is>
      </c>
      <c r="H364" s="16" t="inlineStr">
        <is>
          <t>AZUL</t>
        </is>
      </c>
      <c r="I364" s="16" t="n">
        <v>1</v>
      </c>
      <c r="J364" s="17" t="n">
        <v>72</v>
      </c>
      <c r="K364" s="17" t="n">
        <v>78.53</v>
      </c>
      <c r="L364" s="17" t="n">
        <v>25.86</v>
      </c>
      <c r="M364" s="17" t="n">
        <v>0</v>
      </c>
      <c r="N364" s="17">
        <f>K364*0.08+L364*0.08</f>
        <v/>
      </c>
      <c r="O364" s="17">
        <f>-(K364*0.025+L364*0.025)</f>
        <v/>
      </c>
      <c r="P364" s="17">
        <f>32</f>
        <v/>
      </c>
      <c r="Q364" s="17">
        <f>J364+L364+N364+O364-P364-M364</f>
        <v/>
      </c>
    </row>
    <row r="365">
      <c r="A365" s="16" t="inlineStr">
        <is>
          <t>5.22-5.28</t>
        </is>
      </c>
      <c r="B365" s="16" t="inlineStr">
        <is>
          <t>PO-128-01247943276150144</t>
        </is>
      </c>
      <c r="C365" s="16" t="inlineStr">
        <is>
          <t>Delivered</t>
        </is>
      </c>
      <c r="D365" s="16" t="inlineStr">
        <is>
          <t>128-01247953761910144</t>
        </is>
      </c>
      <c r="E365" s="16" t="inlineStr">
        <is>
          <t>Delivered</t>
        </is>
      </c>
      <c r="F365" s="16" t="inlineStr">
        <is>
          <t>A500-A</t>
        </is>
      </c>
      <c r="G365" s="16" t="inlineStr">
        <is>
          <t>Bocina Bluetooth Portátil Barra de Sonido, Inalámbrica con FM Radio, TWS, USB/TF, Graves Potentes para Hogar y Exteriores</t>
        </is>
      </c>
      <c r="H365" s="16" t="inlineStr">
        <is>
          <t>AZUL</t>
        </is>
      </c>
      <c r="I365" s="16" t="n">
        <v>1</v>
      </c>
      <c r="J365" s="17" t="n">
        <v>72</v>
      </c>
      <c r="K365" s="17" t="n">
        <v>78.53</v>
      </c>
      <c r="L365" s="17" t="n">
        <v>25.86</v>
      </c>
      <c r="M365" s="17" t="n">
        <v>0</v>
      </c>
      <c r="N365" s="17">
        <f>K365*0.08+L365*0.08</f>
        <v/>
      </c>
      <c r="O365" s="17">
        <f>-(K365*0.025+L365*0.025)</f>
        <v/>
      </c>
      <c r="P365" s="17">
        <f>32</f>
        <v/>
      </c>
      <c r="Q365" s="17">
        <f>J365+L365+N365+O365-P365-M365</f>
        <v/>
      </c>
    </row>
    <row r="366">
      <c r="A366" s="16" t="inlineStr">
        <is>
          <t>5.22-5.28</t>
        </is>
      </c>
      <c r="B366" s="16" t="inlineStr">
        <is>
          <t>PO-128-00927835095672052</t>
        </is>
      </c>
      <c r="C366" s="16" t="inlineStr">
        <is>
          <t>Delivered</t>
        </is>
      </c>
      <c r="D366" s="16" t="inlineStr">
        <is>
          <t>128-00927877038712052</t>
        </is>
      </c>
      <c r="E366" s="16" t="inlineStr">
        <is>
          <t>Delivered</t>
        </is>
      </c>
      <c r="F366" s="16" t="inlineStr">
        <is>
          <t>A500-A</t>
        </is>
      </c>
      <c r="G366" s="16" t="inlineStr">
        <is>
          <t>Bocina Bluetooth Portátil Barra de Sonido, Inalámbrica con FM Radio, TWS, USB/TF, Graves Potentes para Hogar y Exteriores</t>
        </is>
      </c>
      <c r="H366" s="16" t="inlineStr">
        <is>
          <t>AZUL</t>
        </is>
      </c>
      <c r="I366" s="16" t="n">
        <v>1</v>
      </c>
      <c r="J366" s="17" t="n">
        <v>72</v>
      </c>
      <c r="K366" s="17" t="n">
        <v>35.43</v>
      </c>
      <c r="L366" s="17" t="n">
        <v>25.86</v>
      </c>
      <c r="M366" s="17" t="n">
        <v>0</v>
      </c>
      <c r="N366" s="17">
        <f>K366*0.08+L366*0.08</f>
        <v/>
      </c>
      <c r="O366" s="17">
        <f>-(K366*0.025+L366*0.025)</f>
        <v/>
      </c>
      <c r="P366" s="17">
        <f>32</f>
        <v/>
      </c>
      <c r="Q366" s="17">
        <f>J366+L366+N366+O366-P366-M366</f>
        <v/>
      </c>
    </row>
    <row r="367">
      <c r="A367" s="16" t="inlineStr">
        <is>
          <t>5.22-5.28</t>
        </is>
      </c>
      <c r="B367" s="16" t="inlineStr">
        <is>
          <t>PO-128-01237673764470335</t>
        </is>
      </c>
      <c r="C367" s="16" t="inlineStr">
        <is>
          <t>Delivered</t>
        </is>
      </c>
      <c r="D367" s="16" t="inlineStr">
        <is>
          <t>128-01237810079350335</t>
        </is>
      </c>
      <c r="E367" s="16" t="inlineStr">
        <is>
          <t>Delivered</t>
        </is>
      </c>
      <c r="F367" s="16" t="inlineStr">
        <is>
          <t>SA320T-V</t>
        </is>
      </c>
      <c r="G367" s="16" t="inlineStr">
        <is>
          <t>Altavoz inalámbrico portátil con Luces RGB, Radio FM y Manija - 5h Duración, TWS, TF Card, Compacto y Recargable via USB，Perfecto para viajes, fiestas y gaming</t>
        </is>
      </c>
      <c r="H367" s="16" t="inlineStr">
        <is>
          <t>verde</t>
        </is>
      </c>
      <c r="I367" s="16" t="n">
        <v>1</v>
      </c>
      <c r="J367" s="17" t="n">
        <v>48</v>
      </c>
      <c r="K367" s="17" t="n">
        <v>5.27</v>
      </c>
      <c r="L367" s="17" t="n">
        <v>25.86</v>
      </c>
      <c r="M367" s="17" t="n">
        <v>0</v>
      </c>
      <c r="N367" s="17">
        <f>K367*0.08+L367*0.08</f>
        <v/>
      </c>
      <c r="O367" s="17">
        <f>-(K367*0.025+L367*0.025)</f>
        <v/>
      </c>
      <c r="P367" s="17">
        <f>32</f>
        <v/>
      </c>
      <c r="Q367" s="17">
        <f>J367+L367+N367+O367-P367-M367</f>
        <v/>
      </c>
    </row>
    <row r="368">
      <c r="A368" s="16" t="inlineStr">
        <is>
          <t>5.22-5.28</t>
        </is>
      </c>
      <c r="B368" s="16" t="inlineStr">
        <is>
          <t>PO-128-01046185083511477</t>
        </is>
      </c>
      <c r="C368" s="16" t="inlineStr">
        <is>
          <t>Delivered</t>
        </is>
      </c>
      <c r="D368" s="16" t="inlineStr">
        <is>
          <t>128-01046206055031477</t>
        </is>
      </c>
      <c r="E368" s="16" t="inlineStr">
        <is>
          <t>Delivered</t>
        </is>
      </c>
      <c r="F368" s="16" t="inlineStr">
        <is>
          <t>A500-A</t>
        </is>
      </c>
      <c r="G368" s="16" t="inlineStr">
        <is>
          <t>Bocina Bluetooth Portátil Barra de Sonido, Inalámbrica con FM Radio, TWS, USB/TF, Graves Potentes para Hogar y Exteriores</t>
        </is>
      </c>
      <c r="H368" s="16" t="inlineStr">
        <is>
          <t>AZUL</t>
        </is>
      </c>
      <c r="I368" s="16" t="n">
        <v>1</v>
      </c>
      <c r="J368" s="17" t="n">
        <v>72</v>
      </c>
      <c r="K368" s="17" t="n">
        <v>78.53</v>
      </c>
      <c r="L368" s="17" t="n">
        <v>25.86</v>
      </c>
      <c r="M368" s="17" t="n">
        <v>0</v>
      </c>
      <c r="N368" s="17">
        <f>K368*0.08+L368*0.08</f>
        <v/>
      </c>
      <c r="O368" s="17">
        <f>-(K368*0.025+L368*0.025)</f>
        <v/>
      </c>
      <c r="P368" s="17">
        <f>32</f>
        <v/>
      </c>
      <c r="Q368" s="17">
        <f>J368+L368+N368+O368-P368-M368</f>
        <v/>
      </c>
    </row>
    <row r="369">
      <c r="A369" s="16" t="inlineStr">
        <is>
          <t>5.22-5.28</t>
        </is>
      </c>
      <c r="B369" s="16" t="inlineStr">
        <is>
          <t>PO-128-01316219602550827</t>
        </is>
      </c>
      <c r="C369" s="16" t="inlineStr">
        <is>
          <t>Delivered</t>
        </is>
      </c>
      <c r="D369" s="16" t="inlineStr">
        <is>
          <t>128-01316261545590827</t>
        </is>
      </c>
      <c r="E369" s="16" t="inlineStr">
        <is>
          <t>Delivered</t>
        </is>
      </c>
      <c r="F369" s="16" t="inlineStr">
        <is>
          <t>A500-N</t>
        </is>
      </c>
      <c r="G369" s="16" t="inlineStr">
        <is>
          <t>Bocina Bluetooth Portátil Barra de Sonido, Inalámbrica con FM Radio, TWS, USB/TF, Graves Potentes para Hogar y Exteriores</t>
        </is>
      </c>
      <c r="H369" s="16" t="inlineStr">
        <is>
          <t>NEGRO</t>
        </is>
      </c>
      <c r="I369" s="16" t="n">
        <v>1</v>
      </c>
      <c r="J369" s="17" t="n">
        <v>77.22</v>
      </c>
      <c r="K369" s="17" t="n">
        <v>84.18000000000001</v>
      </c>
      <c r="L369" s="17" t="n">
        <v>25.86</v>
      </c>
      <c r="M369" s="17" t="n">
        <v>0</v>
      </c>
      <c r="N369" s="17">
        <f>K369*0.08+L369*0.08</f>
        <v/>
      </c>
      <c r="O369" s="17">
        <f>-(K369*0.025+L369*0.025)</f>
        <v/>
      </c>
      <c r="P369" s="17">
        <f>32</f>
        <v/>
      </c>
      <c r="Q369" s="17">
        <f>J369+L369+N369+O369-P369-M369</f>
        <v/>
      </c>
    </row>
    <row r="370">
      <c r="A370" s="16" t="inlineStr">
        <is>
          <t>5.22-5.28</t>
        </is>
      </c>
      <c r="B370" s="16" t="inlineStr">
        <is>
          <t>PO-128-01292366838390905</t>
        </is>
      </c>
      <c r="C370" s="16" t="inlineStr">
        <is>
          <t>Delivered</t>
        </is>
      </c>
      <c r="D370" s="16" t="inlineStr">
        <is>
          <t>128-01292419267190905</t>
        </is>
      </c>
      <c r="E370" s="16" t="inlineStr">
        <is>
          <t>Delivered</t>
        </is>
      </c>
      <c r="F370" s="16" t="inlineStr">
        <is>
          <t>A500-A</t>
        </is>
      </c>
      <c r="G370" s="16" t="inlineStr">
        <is>
          <t>Bocina Bluetooth Portátil Barra de Sonido, Inalámbrica con FM Radio, TWS, USB/TF, Graves Potentes para Hogar y Exteriores</t>
        </is>
      </c>
      <c r="H370" s="16" t="inlineStr">
        <is>
          <t>AZUL</t>
        </is>
      </c>
      <c r="I370" s="16" t="n">
        <v>1</v>
      </c>
      <c r="J370" s="17" t="n">
        <v>78.88</v>
      </c>
      <c r="K370" s="17" t="n">
        <v>85.97</v>
      </c>
      <c r="L370" s="17" t="n">
        <v>25.86</v>
      </c>
      <c r="M370" s="17" t="n">
        <v>0</v>
      </c>
      <c r="N370" s="17">
        <f>K370*0.08+L370*0.08</f>
        <v/>
      </c>
      <c r="O370" s="17">
        <f>-(K370*0.025+L370*0.025)</f>
        <v/>
      </c>
      <c r="P370" s="17">
        <f>32</f>
        <v/>
      </c>
      <c r="Q370" s="17">
        <f>J370+L370+N370+O370-P370-M370</f>
        <v/>
      </c>
    </row>
    <row r="371">
      <c r="A371" s="16" t="inlineStr">
        <is>
          <t>5.22-5.28</t>
        </is>
      </c>
      <c r="B371" s="16" t="inlineStr">
        <is>
          <t>PO-128-00843832023673643</t>
        </is>
      </c>
      <c r="C371" s="16" t="inlineStr">
        <is>
          <t>Delivered</t>
        </is>
      </c>
      <c r="D371" s="16" t="inlineStr">
        <is>
          <t>128-00843769109113643</t>
        </is>
      </c>
      <c r="E371" s="16" t="inlineStr">
        <is>
          <t>Delivered</t>
        </is>
      </c>
      <c r="F371" s="16" t="inlineStr">
        <is>
          <t>A500-N</t>
        </is>
      </c>
      <c r="G371" s="16" t="inlineStr">
        <is>
          <t>Bocina Bluetooth Portátil Barra de Sonido, Inalámbrica con FM Radio, TWS, USB/TF, Graves Potentes para Hogar y Exteriores</t>
        </is>
      </c>
      <c r="H371" s="16" t="inlineStr">
        <is>
          <t>NEGRO</t>
        </is>
      </c>
      <c r="I371" s="16" t="n">
        <v>1</v>
      </c>
      <c r="J371" s="17" t="n">
        <v>77.22</v>
      </c>
      <c r="K371" s="17" t="n">
        <v>84.18000000000001</v>
      </c>
      <c r="L371" s="17" t="n">
        <v>8.460000000000001</v>
      </c>
      <c r="M371" s="17" t="n">
        <v>0</v>
      </c>
      <c r="N371" s="17">
        <f>K371*0.08+L371*0.08</f>
        <v/>
      </c>
      <c r="O371" s="17">
        <f>-(K371*0.025+L371*0.025)</f>
        <v/>
      </c>
      <c r="P371" s="17">
        <f>32</f>
        <v/>
      </c>
      <c r="Q371" s="17">
        <f>J371+L371+N371+O371-P371-M371</f>
        <v/>
      </c>
    </row>
    <row r="372">
      <c r="A372" s="16" t="inlineStr">
        <is>
          <t>5.22-5.28</t>
        </is>
      </c>
      <c r="B372" s="16" t="inlineStr">
        <is>
          <t>PO-128-00843832023673643</t>
        </is>
      </c>
      <c r="C372" s="16" t="inlineStr">
        <is>
          <t>Delivered</t>
        </is>
      </c>
      <c r="D372" s="16" t="inlineStr">
        <is>
          <t>128-00843852995193643</t>
        </is>
      </c>
      <c r="E372" s="16" t="inlineStr">
        <is>
          <t>Delivered</t>
        </is>
      </c>
      <c r="F372" s="16" t="inlineStr">
        <is>
          <t>A500-A</t>
        </is>
      </c>
      <c r="G372" s="16" t="inlineStr">
        <is>
          <t>Bocina Bluetooth Portátil Barra de Sonido, Inalámbrica con FM Radio, TWS, USB/TF, Graves Potentes para Hogar y Exteriores</t>
        </is>
      </c>
      <c r="H372" s="16" t="inlineStr">
        <is>
          <t>AZUL</t>
        </is>
      </c>
      <c r="I372" s="16" t="n">
        <v>1</v>
      </c>
      <c r="J372" s="17" t="n">
        <v>78.88</v>
      </c>
      <c r="K372" s="17" t="n">
        <v>85.97</v>
      </c>
      <c r="L372" s="17" t="n">
        <v>8.640000000000001</v>
      </c>
      <c r="M372" s="17" t="n">
        <v>0</v>
      </c>
      <c r="N372" s="17">
        <f>K372*0.08+L372*0.08</f>
        <v/>
      </c>
      <c r="O372" s="17">
        <f>-(K372*0.025+L372*0.025)</f>
        <v/>
      </c>
      <c r="P372" s="17">
        <f>32</f>
        <v/>
      </c>
      <c r="Q372" s="17">
        <f>J372+L372+N372+O372-P372-M372</f>
        <v/>
      </c>
    </row>
    <row r="373">
      <c r="A373" s="16" t="inlineStr">
        <is>
          <t>5.22-5.28</t>
        </is>
      </c>
      <c r="B373" s="16" t="inlineStr">
        <is>
          <t>PO-128-00843832023673643</t>
        </is>
      </c>
      <c r="C373" s="16" t="inlineStr">
        <is>
          <t>Delivered</t>
        </is>
      </c>
      <c r="D373" s="16" t="inlineStr">
        <is>
          <t>128-00843811052153643</t>
        </is>
      </c>
      <c r="E373" s="16" t="inlineStr">
        <is>
          <t>Delivered</t>
        </is>
      </c>
      <c r="F373" s="16" t="inlineStr">
        <is>
          <t>A500-R</t>
        </is>
      </c>
      <c r="G373" s="16" t="inlineStr">
        <is>
          <t>Bocina Bluetooth Portátil Barra de Sonido, Inalámbrica con FM Radio, TWS, USB/TF, Graves Potentes para Hogar y Exteriores</t>
        </is>
      </c>
      <c r="H373" s="16" t="inlineStr">
        <is>
          <t>ROIO</t>
        </is>
      </c>
      <c r="I373" s="16" t="n">
        <v>1</v>
      </c>
      <c r="J373" s="17" t="n">
        <v>80</v>
      </c>
      <c r="K373" s="17" t="n">
        <v>87.18000000000001</v>
      </c>
      <c r="L373" s="17" t="n">
        <v>8.77</v>
      </c>
      <c r="M373" s="17" t="n">
        <v>0</v>
      </c>
      <c r="N373" s="17">
        <f>K373*0.08+L373*0.08</f>
        <v/>
      </c>
      <c r="O373" s="17">
        <f>-(K373*0.025+L373*0.025)</f>
        <v/>
      </c>
      <c r="P373" s="17">
        <f>32</f>
        <v/>
      </c>
      <c r="Q373" s="17">
        <f>J373+L373+N373+O373-P373-M373</f>
        <v/>
      </c>
    </row>
    <row r="374">
      <c r="A374" s="16" t="inlineStr">
        <is>
          <t>5.22-5.28</t>
        </is>
      </c>
      <c r="B374" s="16" t="inlineStr">
        <is>
          <t>PO-128-01181682238071565</t>
        </is>
      </c>
      <c r="C374" s="16" t="inlineStr">
        <is>
          <t>Delivered</t>
        </is>
      </c>
      <c r="D374" s="16" t="inlineStr">
        <is>
          <t>128-01181661266551565</t>
        </is>
      </c>
      <c r="E374" s="16" t="inlineStr">
        <is>
          <t>Delivered</t>
        </is>
      </c>
      <c r="F374" s="16" t="inlineStr">
        <is>
          <t>A500-N</t>
        </is>
      </c>
      <c r="G374" s="16" t="inlineStr">
        <is>
          <t>Bocina Bluetooth Portátil Barra de Sonido, Inalámbrica con FM Radio, TWS, USB/TF, Graves Potentes para Hogar y Exteriores</t>
        </is>
      </c>
      <c r="H374" s="16" t="inlineStr">
        <is>
          <t>NEGRO</t>
        </is>
      </c>
      <c r="I374" s="16" t="n">
        <v>1</v>
      </c>
      <c r="J374" s="17" t="n">
        <v>77.22</v>
      </c>
      <c r="K374" s="17" t="n">
        <v>84.18000000000001</v>
      </c>
      <c r="L374" s="17" t="n">
        <v>25.86</v>
      </c>
      <c r="M374" s="17" t="n">
        <v>0</v>
      </c>
      <c r="N374" s="17">
        <f>K374*0.08+L374*0.08</f>
        <v/>
      </c>
      <c r="O374" s="17">
        <f>-(K374*0.025+L374*0.025)</f>
        <v/>
      </c>
      <c r="P374" s="17">
        <f>32</f>
        <v/>
      </c>
      <c r="Q374" s="17">
        <f>J374+L374+N374+O374-P374-M374</f>
        <v/>
      </c>
    </row>
    <row r="375">
      <c r="A375" s="16" t="inlineStr">
        <is>
          <t>5.22-5.28</t>
        </is>
      </c>
      <c r="B375" s="16" t="inlineStr">
        <is>
          <t>PO-128-20158846966392242</t>
        </is>
      </c>
      <c r="C375" s="16" t="inlineStr">
        <is>
          <t>Delivered</t>
        </is>
      </c>
      <c r="D375" s="16" t="inlineStr">
        <is>
          <t>128-20158983281272242</t>
        </is>
      </c>
      <c r="E375" s="16" t="inlineStr">
        <is>
          <t>Delivered</t>
        </is>
      </c>
      <c r="F375" s="16" t="inlineStr">
        <is>
          <t>MB-183N</t>
        </is>
      </c>
      <c r="G375" s="16" t="inlineStr">
        <is>
          <t>Linkbits Altavoz Bluetooth Portátil con Stereo Inalámbrico TWS Impermeable y a Prueba de Polvo IP65 Altavoz de Graves de Rango Completo de 52mm con Doble Unidad Ligero de 215g para Camping Senderismo y Fiestas al Aire Libre</t>
        </is>
      </c>
      <c r="H375" s="16" t="inlineStr">
        <is>
          <t>NEGRO/MB-183</t>
        </is>
      </c>
      <c r="I375" s="16" t="n">
        <v>1</v>
      </c>
      <c r="J375" s="17" t="n">
        <v>95</v>
      </c>
      <c r="K375" s="17" t="n">
        <v>112.38</v>
      </c>
      <c r="L375" s="17" t="n">
        <v>25.86</v>
      </c>
      <c r="M375" s="17" t="n">
        <v>0</v>
      </c>
      <c r="N375" s="17">
        <f>K375*0.08+L375*0.08</f>
        <v/>
      </c>
      <c r="O375" s="17">
        <f>-(K375*0.025+L375*0.025)</f>
        <v/>
      </c>
      <c r="P375" s="17">
        <f>32</f>
        <v/>
      </c>
      <c r="Q375" s="17">
        <f>J375+L375+N375+O375-P375-M375</f>
        <v/>
      </c>
    </row>
    <row r="376">
      <c r="A376" s="16" t="inlineStr">
        <is>
          <t>5.22-5.28</t>
        </is>
      </c>
      <c r="B376" s="16" t="inlineStr">
        <is>
          <t>PO-128-20506571520630234</t>
        </is>
      </c>
      <c r="C376" s="16" t="inlineStr">
        <is>
          <t>Delivered</t>
        </is>
      </c>
      <c r="D376" s="16" t="inlineStr">
        <is>
          <t>128-20506592492150234</t>
        </is>
      </c>
      <c r="E376" s="16" t="inlineStr">
        <is>
          <t>Delivered</t>
        </is>
      </c>
      <c r="F376" s="16" t="inlineStr">
        <is>
          <t>MB-183B</t>
        </is>
      </c>
      <c r="G376" s="16" t="inlineStr">
        <is>
          <t>Linkbits Altavoz Bluetooth Portátil con Stereo Inalámbrico TWS Impermeable y a Prueba de Polvo IP65 Altavoz de Graves de Rango Completo de 52mm con Doble Unidad Ligero de 215g para Camping Senderismo y Fiestas al Aire Libre</t>
        </is>
      </c>
      <c r="H376" s="16" t="inlineStr">
        <is>
          <t>AZUL/MB-183</t>
        </is>
      </c>
      <c r="I376" s="16" t="n">
        <v>1</v>
      </c>
      <c r="J376" s="17" t="n">
        <v>90</v>
      </c>
      <c r="K376" s="17" t="n">
        <v>107.38</v>
      </c>
      <c r="L376" s="17" t="n">
        <v>25.86</v>
      </c>
      <c r="M376" s="17" t="n">
        <v>0</v>
      </c>
      <c r="N376" s="17">
        <f>K376*0.08+L376*0.08</f>
        <v/>
      </c>
      <c r="O376" s="17">
        <f>-(K376*0.025+L376*0.025)</f>
        <v/>
      </c>
      <c r="P376" s="17">
        <f>32</f>
        <v/>
      </c>
      <c r="Q376" s="17">
        <f>J376+L376+N376+O376-P376-M376</f>
        <v/>
      </c>
    </row>
    <row r="377">
      <c r="A377" s="16" t="inlineStr">
        <is>
          <t>5.22-5.28</t>
        </is>
      </c>
      <c r="B377" s="16" t="inlineStr">
        <is>
          <t>PO-128-20373099259511991</t>
        </is>
      </c>
      <c r="C377" s="16" t="inlineStr">
        <is>
          <t>Delivered</t>
        </is>
      </c>
      <c r="D377" s="16" t="inlineStr">
        <is>
          <t>128-20373120231031991</t>
        </is>
      </c>
      <c r="E377" s="16" t="inlineStr">
        <is>
          <t>Delivered</t>
        </is>
      </c>
      <c r="F377" s="16" t="inlineStr">
        <is>
          <t>A500-N</t>
        </is>
      </c>
      <c r="G377" s="16" t="inlineStr">
        <is>
          <t>Bocina Bluetooth Portátil Barra de Sonido, Inalámbrica con FM Radio, TWS, USB/TF, Graves Potentes para Hogar y Exteriores</t>
        </is>
      </c>
      <c r="H377" s="16" t="inlineStr">
        <is>
          <t>NEGRO</t>
        </is>
      </c>
      <c r="I377" s="16" t="n">
        <v>1</v>
      </c>
      <c r="J377" s="17" t="n">
        <v>77.22</v>
      </c>
      <c r="K377" s="17" t="n">
        <v>84.18000000000001</v>
      </c>
      <c r="L377" s="17" t="n">
        <v>25.86</v>
      </c>
      <c r="M377" s="17" t="n">
        <v>0</v>
      </c>
      <c r="N377" s="17">
        <f>K377*0.08+L377*0.08</f>
        <v/>
      </c>
      <c r="O377" s="17">
        <f>-(K377*0.025+L377*0.025)</f>
        <v/>
      </c>
      <c r="P377" s="17">
        <f>32</f>
        <v/>
      </c>
      <c r="Q377" s="17">
        <f>J377+L377+N377+O377-P377-M377</f>
        <v/>
      </c>
    </row>
    <row r="378">
      <c r="A378" s="16" t="inlineStr">
        <is>
          <t>5.22-5.28</t>
        </is>
      </c>
      <c r="B378" s="16" t="inlineStr">
        <is>
          <t>PO-128-20603316239990555</t>
        </is>
      </c>
      <c r="C378" s="16" t="inlineStr">
        <is>
          <t>Delivered</t>
        </is>
      </c>
      <c r="D378" s="16" t="inlineStr">
        <is>
          <t>128-20603326725750555</t>
        </is>
      </c>
      <c r="E378" s="16" t="inlineStr">
        <is>
          <t>Delivered</t>
        </is>
      </c>
      <c r="F378" s="16" t="inlineStr">
        <is>
          <t>A500-N</t>
        </is>
      </c>
      <c r="G378" s="16" t="inlineStr">
        <is>
          <t>Bocina Bluetooth Portátil Barra de Sonido, Inalámbrica con FM Radio, TWS, USB/TF, Graves Potentes para Hogar y Exteriores</t>
        </is>
      </c>
      <c r="H378" s="16" t="inlineStr">
        <is>
          <t>NEGRO</t>
        </is>
      </c>
      <c r="I378" s="16" t="n">
        <v>1</v>
      </c>
      <c r="J378" s="17" t="n">
        <v>77.22</v>
      </c>
      <c r="K378" s="17" t="n">
        <v>84.18000000000001</v>
      </c>
      <c r="L378" s="17" t="n">
        <v>25.86</v>
      </c>
      <c r="M378" s="17" t="n">
        <v>0</v>
      </c>
      <c r="N378" s="17">
        <f>K378*0.08+L378*0.08</f>
        <v/>
      </c>
      <c r="O378" s="17">
        <f>-(K378*0.025+L378*0.025)</f>
        <v/>
      </c>
      <c r="P378" s="17">
        <f>32</f>
        <v/>
      </c>
      <c r="Q378" s="17">
        <f>J378+L378+N378+O378-P378-M378</f>
        <v/>
      </c>
    </row>
    <row r="379">
      <c r="A379" s="16" t="inlineStr">
        <is>
          <t>5.22-5.28</t>
        </is>
      </c>
      <c r="B379" s="16" t="inlineStr">
        <is>
          <t>PO-128-20533102523510908</t>
        </is>
      </c>
      <c r="C379" s="16" t="inlineStr">
        <is>
          <t>Delivered</t>
        </is>
      </c>
      <c r="D379" s="16" t="inlineStr">
        <is>
          <t>128-20533060580470908</t>
        </is>
      </c>
      <c r="E379" s="16" t="inlineStr">
        <is>
          <t>Delivered</t>
        </is>
      </c>
      <c r="F379" s="16" t="inlineStr">
        <is>
          <t>A500-R</t>
        </is>
      </c>
      <c r="G379" s="16" t="inlineStr">
        <is>
          <t>Bocina Bluetooth Portátil Barra de Sonido, Inalámbrica con FM Radio, TWS, USB/TF, Graves Potentes para Hogar y Exteriores</t>
        </is>
      </c>
      <c r="H379" s="16" t="inlineStr">
        <is>
          <t>ROIO</t>
        </is>
      </c>
      <c r="I379" s="16" t="n">
        <v>1</v>
      </c>
      <c r="J379" s="17" t="n">
        <v>80</v>
      </c>
      <c r="K379" s="17" t="n">
        <v>87.18000000000001</v>
      </c>
      <c r="L379" s="17" t="n">
        <v>25.86</v>
      </c>
      <c r="M379" s="17" t="n">
        <v>0</v>
      </c>
      <c r="N379" s="17">
        <f>K379*0.08+L379*0.08</f>
        <v/>
      </c>
      <c r="O379" s="17">
        <f>-(K379*0.025+L379*0.025)</f>
        <v/>
      </c>
      <c r="P379" s="17">
        <f>32</f>
        <v/>
      </c>
      <c r="Q379" s="17">
        <f>J379+L379+N379+O379-P379-M379</f>
        <v/>
      </c>
    </row>
    <row r="380">
      <c r="A380" s="16" t="inlineStr">
        <is>
          <t>5.22-5.28</t>
        </is>
      </c>
      <c r="B380" s="16" t="inlineStr">
        <is>
          <t>PO-128-19936943168633503</t>
        </is>
      </c>
      <c r="C380" s="16" t="inlineStr">
        <is>
          <t>Delivered</t>
        </is>
      </c>
      <c r="D380" s="16" t="inlineStr">
        <is>
          <t>128-19936922197113503</t>
        </is>
      </c>
      <c r="E380" s="16" t="inlineStr">
        <is>
          <t>Delivered</t>
        </is>
      </c>
      <c r="F380" s="16" t="inlineStr">
        <is>
          <t>MB-185N</t>
        </is>
      </c>
      <c r="G380" s="16" t="inlineStr">
        <is>
          <t>Bocina Radio FM/Reproductor, Compatible con Tarjeta TF, USB, Bluetooth, Aplicable para celular, computadora, Ipad y consola</t>
        </is>
      </c>
      <c r="H380" s="16" t="inlineStr">
        <is>
          <t>NEGRO/MB-185</t>
        </is>
      </c>
      <c r="I380" s="16" t="n">
        <v>1</v>
      </c>
      <c r="J380" s="17" t="n">
        <v>85</v>
      </c>
      <c r="K380" s="17" t="n">
        <v>78.34999999999999</v>
      </c>
      <c r="L380" s="17" t="n">
        <v>25.86</v>
      </c>
      <c r="M380" s="17" t="n">
        <v>0</v>
      </c>
      <c r="N380" s="17">
        <f>K380*0.08+L380*0.08</f>
        <v/>
      </c>
      <c r="O380" s="17">
        <f>-(K380*0.025+L380*0.025)</f>
        <v/>
      </c>
      <c r="P380" s="17">
        <f>32</f>
        <v/>
      </c>
      <c r="Q380" s="17">
        <f>J380+L380+N380+O380-P380-M380</f>
        <v/>
      </c>
    </row>
    <row r="381">
      <c r="A381" s="16" t="inlineStr">
        <is>
          <t>5.22-5.28</t>
        </is>
      </c>
      <c r="B381" s="16" t="inlineStr">
        <is>
          <t>PO-128-19979095870073250</t>
        </is>
      </c>
      <c r="C381" s="16" t="inlineStr">
        <is>
          <t>Delivered</t>
        </is>
      </c>
      <c r="D381" s="16" t="inlineStr">
        <is>
          <t>128-19979116841593250</t>
        </is>
      </c>
      <c r="E381" s="16" t="inlineStr">
        <is>
          <t>Delivered</t>
        </is>
      </c>
      <c r="F381" s="16" t="inlineStr">
        <is>
          <t>A500-N</t>
        </is>
      </c>
      <c r="G381" s="16" t="inlineStr">
        <is>
          <t>Bocina Bluetooth Portátil Barra de Sonido, Inalámbrica con FM Radio, TWS, USB/TF, Graves Potentes para Hogar y Exteriores</t>
        </is>
      </c>
      <c r="H381" s="16" t="inlineStr">
        <is>
          <t>NEGRO</t>
        </is>
      </c>
      <c r="I381" s="16" t="n">
        <v>1</v>
      </c>
      <c r="J381" s="17" t="n">
        <v>77.22</v>
      </c>
      <c r="K381" s="17" t="n">
        <v>72.06</v>
      </c>
      <c r="L381" s="17" t="n">
        <v>25.86</v>
      </c>
      <c r="M381" s="17" t="n">
        <v>0</v>
      </c>
      <c r="N381" s="17">
        <f>K381*0.08+L381*0.08</f>
        <v/>
      </c>
      <c r="O381" s="17">
        <f>-(K381*0.025+L381*0.025)</f>
        <v/>
      </c>
      <c r="P381" s="17">
        <f>32</f>
        <v/>
      </c>
      <c r="Q381" s="17">
        <f>J381+L381+N381+O381-P381-M381</f>
        <v/>
      </c>
    </row>
    <row r="382">
      <c r="A382" s="16" t="inlineStr">
        <is>
          <t>5.29-6.4</t>
        </is>
      </c>
      <c r="B382" s="16" t="inlineStr">
        <is>
          <t>PO-128-14039069532791345</t>
        </is>
      </c>
      <c r="C382" s="16" t="inlineStr">
        <is>
          <t>Shipped</t>
        </is>
      </c>
      <c r="D382" s="16" t="inlineStr">
        <is>
          <t>128-14039048561271345</t>
        </is>
      </c>
      <c r="E382" s="16" t="inlineStr">
        <is>
          <t>Shipped</t>
        </is>
      </c>
      <c r="F382" s="16" t="inlineStr">
        <is>
          <t>A500-A</t>
        </is>
      </c>
      <c r="G382" s="16" t="inlineStr">
        <is>
          <t>Bocina Bluetooth Portátil Barra de Sonido, Inalámbrica con FM Radio, TWS, USB/TF, Graves Potentes para Hogar y Exteriores</t>
        </is>
      </c>
      <c r="H382" s="16" t="inlineStr">
        <is>
          <t>AZUL</t>
        </is>
      </c>
      <c r="I382" s="16" t="n">
        <v>1</v>
      </c>
      <c r="J382" s="17" t="n">
        <v>74.81</v>
      </c>
      <c r="K382" s="17" t="n">
        <v>84.76000000000001</v>
      </c>
      <c r="L382" s="17" t="n">
        <v>25.86</v>
      </c>
      <c r="M382" s="17" t="n">
        <v>0</v>
      </c>
      <c r="N382" s="17">
        <f>K382*0.08+L382*0.08</f>
        <v/>
      </c>
      <c r="O382" s="17">
        <f>-(K382*0.025+L382*0.025)</f>
        <v/>
      </c>
      <c r="P382" s="17">
        <f>32</f>
        <v/>
      </c>
      <c r="Q382" s="17">
        <f>J382+L382+N382+O382-P382-M382</f>
        <v/>
      </c>
    </row>
    <row r="383">
      <c r="A383" s="16" t="inlineStr">
        <is>
          <t>5.29-6.4</t>
        </is>
      </c>
      <c r="B383" s="16" t="inlineStr">
        <is>
          <t>PO-128-14347542200953472</t>
        </is>
      </c>
      <c r="C383" s="16" t="inlineStr">
        <is>
          <t>Shipped</t>
        </is>
      </c>
      <c r="D383" s="16" t="inlineStr">
        <is>
          <t>128-14347702108793472</t>
        </is>
      </c>
      <c r="E383" s="16" t="inlineStr">
        <is>
          <t>Shipped</t>
        </is>
      </c>
      <c r="F383" s="16" t="inlineStr">
        <is>
          <t>A500-N</t>
        </is>
      </c>
      <c r="G383" s="16" t="inlineStr">
        <is>
          <t>Bocina Bluetooth Portátil Barra de Sonido, Inalámbrica con FM Radio, TWS, USB/TF, Graves Potentes para Hogar y Exteriores</t>
        </is>
      </c>
      <c r="H383" s="16" t="inlineStr">
        <is>
          <t>NEGRO</t>
        </is>
      </c>
      <c r="I383" s="16" t="n">
        <v>1</v>
      </c>
      <c r="J383" s="17" t="n">
        <v>79.81999999999999</v>
      </c>
      <c r="K383" s="17" t="n">
        <v>90.40000000000001</v>
      </c>
      <c r="L383" s="17" t="n">
        <v>25.86</v>
      </c>
      <c r="M383" s="17" t="n">
        <v>0</v>
      </c>
      <c r="N383" s="17">
        <f>K383*0.08+L383*0.08</f>
        <v/>
      </c>
      <c r="O383" s="17">
        <f>-(K383*0.025+L383*0.025)</f>
        <v/>
      </c>
      <c r="P383" s="17">
        <f>32</f>
        <v/>
      </c>
      <c r="Q383" s="17">
        <f>J383+L383+N383+O383-P383-M383</f>
        <v/>
      </c>
    </row>
    <row r="384">
      <c r="A384" s="16" t="inlineStr">
        <is>
          <t>5.29-6.4</t>
        </is>
      </c>
      <c r="B384" s="16" t="inlineStr">
        <is>
          <t>PO-128-14340633564793706</t>
        </is>
      </c>
      <c r="C384" s="16" t="inlineStr">
        <is>
          <t>Shipped</t>
        </is>
      </c>
      <c r="D384" s="16" t="inlineStr">
        <is>
          <t>128-14340591621753706</t>
        </is>
      </c>
      <c r="E384" s="16" t="inlineStr">
        <is>
          <t>Shipped</t>
        </is>
      </c>
      <c r="F384" s="16" t="inlineStr">
        <is>
          <t>A500-A</t>
        </is>
      </c>
      <c r="G384" s="16" t="inlineStr">
        <is>
          <t>Bocina Bluetooth Portátil Barra de Sonido, Inalámbrica con FM Radio, TWS, USB/TF, Graves Potentes para Hogar y Exteriores</t>
        </is>
      </c>
      <c r="H384" s="16" t="inlineStr">
        <is>
          <t>AZUL</t>
        </is>
      </c>
      <c r="I384" s="16" t="n">
        <v>1</v>
      </c>
      <c r="J384" s="17" t="n">
        <v>74.81</v>
      </c>
      <c r="K384" s="17" t="n">
        <v>84.76000000000001</v>
      </c>
      <c r="L384" s="17" t="n">
        <v>25.86</v>
      </c>
      <c r="M384" s="17" t="n">
        <v>0</v>
      </c>
      <c r="N384" s="17">
        <f>K384*0.08+L384*0.08</f>
        <v/>
      </c>
      <c r="O384" s="17">
        <f>-(K384*0.025+L384*0.025)</f>
        <v/>
      </c>
      <c r="P384" s="17">
        <f>32</f>
        <v/>
      </c>
      <c r="Q384" s="17">
        <f>J384+L384+N384+O384-P384-M384</f>
        <v/>
      </c>
    </row>
    <row r="385">
      <c r="A385" s="16" t="inlineStr">
        <is>
          <t>5.29-6.4</t>
        </is>
      </c>
      <c r="B385" s="16" t="inlineStr">
        <is>
          <t>PO-128-02958107533431857</t>
        </is>
      </c>
      <c r="C385" s="16" t="inlineStr">
        <is>
          <t>Shipped</t>
        </is>
      </c>
      <c r="D385" s="16" t="inlineStr">
        <is>
          <t>128-02958128504951857</t>
        </is>
      </c>
      <c r="E385" s="16" t="inlineStr">
        <is>
          <t>Shipped</t>
        </is>
      </c>
      <c r="F385" s="16" t="inlineStr">
        <is>
          <t>A500-N</t>
        </is>
      </c>
      <c r="G385" s="16" t="inlineStr">
        <is>
          <t>Bocina Bluetooth Portátil Barra de Sonido, Inalámbrica con FM Radio, TWS, USB/TF, Graves Potentes para Hogar y Exteriores</t>
        </is>
      </c>
      <c r="H385" s="16" t="inlineStr">
        <is>
          <t>NEGRO</t>
        </is>
      </c>
      <c r="I385" s="16" t="n">
        <v>1</v>
      </c>
      <c r="J385" s="17" t="n">
        <v>79.81999999999999</v>
      </c>
      <c r="K385" s="17" t="n">
        <v>47.3</v>
      </c>
      <c r="L385" s="17" t="n">
        <v>25.86</v>
      </c>
      <c r="M385" s="17" t="n">
        <v>0</v>
      </c>
      <c r="N385" s="17">
        <f>K385*0.08+L385*0.08</f>
        <v/>
      </c>
      <c r="O385" s="17">
        <f>-(K385*0.025+L385*0.025)</f>
        <v/>
      </c>
      <c r="P385" s="17">
        <f>32</f>
        <v/>
      </c>
      <c r="Q385" s="17">
        <f>J385+L385+N385+O385-P385-M385</f>
        <v/>
      </c>
    </row>
    <row r="386">
      <c r="A386" s="16" t="inlineStr">
        <is>
          <t>5.29-6.4</t>
        </is>
      </c>
      <c r="B386" s="16" t="inlineStr">
        <is>
          <t>PO-128-03203482207352312</t>
        </is>
      </c>
      <c r="C386" s="16" t="inlineStr">
        <is>
          <t>Shipped</t>
        </is>
      </c>
      <c r="D386" s="16" t="inlineStr">
        <is>
          <t>128-03203471721592312</t>
        </is>
      </c>
      <c r="E386" s="16" t="inlineStr">
        <is>
          <t>Shipped</t>
        </is>
      </c>
      <c r="F386" s="16" t="inlineStr">
        <is>
          <t>F025</t>
        </is>
      </c>
      <c r="G386" s="16" t="inlineStr">
        <is>
          <t>Sopladora Turbo Inalámbrica 130000 RPM - Aire Comprimido Eléctrico con Batería 8400mAh, Carga Rápida 2.5H, Ajuste Infinito de Velocidad, Kit Limpieza Multiuso para PC, Coche, Hogar y Exteriores</t>
        </is>
      </c>
      <c r="H386" s="16" t="inlineStr">
        <is>
          <t>Unidad Individual/1Pieza</t>
        </is>
      </c>
      <c r="I386" s="16" t="n">
        <v>1</v>
      </c>
      <c r="J386" s="17" t="n">
        <v>152</v>
      </c>
      <c r="K386" s="17" t="n">
        <v>174.9</v>
      </c>
      <c r="L386" s="17" t="n">
        <v>25.86</v>
      </c>
      <c r="M386" s="17" t="n">
        <v>0</v>
      </c>
      <c r="N386" s="17">
        <f>K386*0.08+L386*0.08</f>
        <v/>
      </c>
      <c r="O386" s="17">
        <f>-(K386*0.025+L386*0.025)</f>
        <v/>
      </c>
      <c r="P386" s="17">
        <f>32</f>
        <v/>
      </c>
      <c r="Q386" s="17">
        <f>J386+L386+N386+O386-P386-M386</f>
        <v/>
      </c>
    </row>
    <row r="387">
      <c r="A387" s="16" t="inlineStr">
        <is>
          <t>5.29-6.4</t>
        </is>
      </c>
      <c r="B387" s="16" t="inlineStr">
        <is>
          <t>PO-128-03185375419512484</t>
        </is>
      </c>
      <c r="C387" s="16" t="inlineStr">
        <is>
          <t>Shipped</t>
        </is>
      </c>
      <c r="D387" s="16" t="inlineStr">
        <is>
          <t>128-03185385905272484</t>
        </is>
      </c>
      <c r="E387" s="16" t="inlineStr">
        <is>
          <t>Shipped</t>
        </is>
      </c>
      <c r="F387" s="16" t="inlineStr">
        <is>
          <t>A500-N</t>
        </is>
      </c>
      <c r="G387" s="16" t="inlineStr">
        <is>
          <t>Bocina Bluetooth Portátil Barra de Sonido, Inalámbrica con FM Radio, TWS, USB/TF, Graves Potentes para Hogar y Exteriores</t>
        </is>
      </c>
      <c r="H387" s="16" t="inlineStr">
        <is>
          <t>NEGRO</t>
        </is>
      </c>
      <c r="I387" s="16" t="n">
        <v>1</v>
      </c>
      <c r="J387" s="17" t="n">
        <v>79.81999999999999</v>
      </c>
      <c r="K387" s="17" t="n">
        <v>90.40000000000001</v>
      </c>
      <c r="L387" s="17" t="n">
        <v>25.86</v>
      </c>
      <c r="M387" s="17" t="n">
        <v>0</v>
      </c>
      <c r="N387" s="17">
        <f>K387*0.08+L387*0.08</f>
        <v/>
      </c>
      <c r="O387" s="17">
        <f>-(K387*0.025+L387*0.025)</f>
        <v/>
      </c>
      <c r="P387" s="17">
        <f>32</f>
        <v/>
      </c>
      <c r="Q387" s="17">
        <f>J387+L387+N387+O387-P387-M387</f>
        <v/>
      </c>
    </row>
    <row r="388">
      <c r="A388" s="16" t="inlineStr">
        <is>
          <t>5.29-6.4</t>
        </is>
      </c>
      <c r="B388" s="16" t="inlineStr">
        <is>
          <t>PO-128-03424591122553106</t>
        </is>
      </c>
      <c r="C388" s="16" t="inlineStr">
        <is>
          <t>Shipped</t>
        </is>
      </c>
      <c r="D388" s="16" t="inlineStr">
        <is>
          <t>128-03424612094073106</t>
        </is>
      </c>
      <c r="E388" s="16" t="inlineStr">
        <is>
          <t>Shipped</t>
        </is>
      </c>
      <c r="F388" s="16" t="inlineStr">
        <is>
          <t>A500-R</t>
        </is>
      </c>
      <c r="G388" s="16" t="inlineStr">
        <is>
          <t>Bocina Bluetooth Portátil Barra de Sonido, Inalámbrica con FM Radio, TWS, USB/TF, Graves Potentes para Hogar y Exteriores</t>
        </is>
      </c>
      <c r="H388" s="16" t="inlineStr">
        <is>
          <t>ROIO</t>
        </is>
      </c>
      <c r="I388" s="16" t="n">
        <v>1</v>
      </c>
      <c r="J388" s="17" t="n">
        <v>78.97</v>
      </c>
      <c r="K388" s="17" t="n">
        <v>71.14</v>
      </c>
      <c r="L388" s="17" t="n">
        <v>25.86</v>
      </c>
      <c r="M388" s="17" t="n">
        <v>0</v>
      </c>
      <c r="N388" s="17">
        <f>K388*0.08+L388*0.08</f>
        <v/>
      </c>
      <c r="O388" s="17">
        <f>-(K388*0.025+L388*0.025)</f>
        <v/>
      </c>
      <c r="P388" s="17">
        <f>32</f>
        <v/>
      </c>
      <c r="Q388" s="17">
        <f>J388+L388+N388+O388-P388-M388</f>
        <v/>
      </c>
    </row>
    <row r="389">
      <c r="A389" s="16" t="inlineStr">
        <is>
          <t>5.29-6.4</t>
        </is>
      </c>
      <c r="B389" s="16" t="inlineStr">
        <is>
          <t>PO-128-02919150257270105</t>
        </is>
      </c>
      <c r="C389" s="16" t="inlineStr">
        <is>
          <t>Shipped</t>
        </is>
      </c>
      <c r="D389" s="16" t="inlineStr">
        <is>
          <t>128-02919192200310105</t>
        </is>
      </c>
      <c r="E389" s="16" t="inlineStr">
        <is>
          <t>Shipped</t>
        </is>
      </c>
      <c r="F389" s="16" t="inlineStr">
        <is>
          <t>A500-N</t>
        </is>
      </c>
      <c r="G389" s="16" t="inlineStr">
        <is>
          <t>Bocina Bluetooth Portátil Barra de Sonido, Inalámbrica con FM Radio, TWS, USB/TF, Graves Potentes para Hogar y Exteriores</t>
        </is>
      </c>
      <c r="H389" s="16" t="inlineStr">
        <is>
          <t>NEGRO</t>
        </is>
      </c>
      <c r="I389" s="16" t="n">
        <v>1</v>
      </c>
      <c r="J389" s="17" t="n">
        <v>79.81999999999999</v>
      </c>
      <c r="K389" s="17" t="n">
        <v>90.40000000000001</v>
      </c>
      <c r="L389" s="17" t="n">
        <v>25.86</v>
      </c>
      <c r="M389" s="17" t="n">
        <v>0</v>
      </c>
      <c r="N389" s="17">
        <f>K389*0.08+L389*0.08</f>
        <v/>
      </c>
      <c r="O389" s="17">
        <f>-(K389*0.025+L389*0.025)</f>
        <v/>
      </c>
      <c r="P389" s="17">
        <f>32</f>
        <v/>
      </c>
      <c r="Q389" s="17">
        <f>J389+L389+N389+O389-P389-M389</f>
        <v/>
      </c>
    </row>
    <row r="390">
      <c r="A390" s="16" t="inlineStr">
        <is>
          <t>5.29-6.4</t>
        </is>
      </c>
      <c r="B390" s="16" t="inlineStr">
        <is>
          <t>PO-128-03106808082553016</t>
        </is>
      </c>
      <c r="C390" s="16" t="inlineStr">
        <is>
          <t>Shipped</t>
        </is>
      </c>
      <c r="D390" s="16" t="inlineStr">
        <is>
          <t>128-03106842161273016</t>
        </is>
      </c>
      <c r="E390" s="16" t="inlineStr">
        <is>
          <t>Shipped</t>
        </is>
      </c>
      <c r="F390" s="16" t="inlineStr">
        <is>
          <t>SA320T-V</t>
        </is>
      </c>
      <c r="G390" s="16" t="inlineStr">
        <is>
          <t>Altavoz inalámbrico portátil con Luces RGB, Radio FM y Manija - 5h Duración, TWS, TF Card, Compacto y Recargable via USB，Perfecto para viajes, fiestas y gaming</t>
        </is>
      </c>
      <c r="H390" s="16" t="inlineStr">
        <is>
          <t>verde</t>
        </is>
      </c>
      <c r="I390" s="16" t="n">
        <v>1</v>
      </c>
      <c r="J390" s="17" t="n">
        <v>53</v>
      </c>
      <c r="K390" s="17" t="n">
        <v>86.97</v>
      </c>
      <c r="L390" s="17" t="n">
        <v>25.86</v>
      </c>
      <c r="M390" s="17" t="n">
        <v>0</v>
      </c>
      <c r="N390" s="17">
        <f>K390*0.08+L390*0.08</f>
        <v/>
      </c>
      <c r="O390" s="17">
        <f>-(K390*0.025+L390*0.025)</f>
        <v/>
      </c>
      <c r="P390" s="17">
        <f>32</f>
        <v/>
      </c>
      <c r="Q390" s="17">
        <f>J390+L390+N390+O390-P390-M390</f>
        <v/>
      </c>
    </row>
    <row r="391">
      <c r="A391" s="16" t="inlineStr">
        <is>
          <t>5.29-6.4</t>
        </is>
      </c>
      <c r="B391" s="16" t="inlineStr">
        <is>
          <t>PO-128-03148821901432766</t>
        </is>
      </c>
      <c r="C391" s="16" t="inlineStr">
        <is>
          <t>Shipped</t>
        </is>
      </c>
      <c r="D391" s="16" t="inlineStr">
        <is>
          <t>128-03148863844472766</t>
        </is>
      </c>
      <c r="E391" s="16" t="inlineStr">
        <is>
          <t>Shipped</t>
        </is>
      </c>
      <c r="F391" s="16" t="inlineStr">
        <is>
          <t>A500-N</t>
        </is>
      </c>
      <c r="G391" s="16" t="inlineStr">
        <is>
          <t>Bocina Bluetooth Portátil Barra de Sonido, Inalámbrica con FM Radio, TWS, USB/TF, Graves Potentes para Hogar y Exteriores</t>
        </is>
      </c>
      <c r="H391" s="16" t="inlineStr">
        <is>
          <t>NEGRO</t>
        </is>
      </c>
      <c r="I391" s="16" t="n">
        <v>1</v>
      </c>
      <c r="J391" s="17" t="n">
        <v>79.81999999999999</v>
      </c>
      <c r="K391" s="17" t="n">
        <v>90.40000000000001</v>
      </c>
      <c r="L391" s="17" t="n">
        <v>25.86</v>
      </c>
      <c r="M391" s="17" t="n">
        <v>0</v>
      </c>
      <c r="N391" s="17">
        <f>K391*0.08+L391*0.08</f>
        <v/>
      </c>
      <c r="O391" s="17">
        <f>-(K391*0.025+L391*0.025)</f>
        <v/>
      </c>
      <c r="P391" s="17">
        <f>32</f>
        <v/>
      </c>
      <c r="Q391" s="17">
        <f>J391+L391+N391+O391-P391-M391</f>
        <v/>
      </c>
    </row>
    <row r="392">
      <c r="A392" s="16" t="inlineStr">
        <is>
          <t>5.29-6.4</t>
        </is>
      </c>
      <c r="B392" s="16" t="inlineStr">
        <is>
          <t>PO-128-02977406175351740</t>
        </is>
      </c>
      <c r="C392" s="16" t="inlineStr">
        <is>
          <t>Shipped</t>
        </is>
      </c>
      <c r="D392" s="16" t="inlineStr">
        <is>
          <t>128-02977427146871740</t>
        </is>
      </c>
      <c r="E392" s="16" t="inlineStr">
        <is>
          <t>Shipped</t>
        </is>
      </c>
      <c r="F392" s="16" t="inlineStr">
        <is>
          <t>A500-A</t>
        </is>
      </c>
      <c r="G392" s="16" t="inlineStr">
        <is>
          <t>Bocina Bluetooth Portátil Barra de Sonido, Inalámbrica con FM Radio, TWS, USB/TF, Graves Potentes para Hogar y Exteriores</t>
        </is>
      </c>
      <c r="H392" s="16" t="inlineStr">
        <is>
          <t>AZUL</t>
        </is>
      </c>
      <c r="I392" s="16" t="n">
        <v>1</v>
      </c>
      <c r="J392" s="17" t="n">
        <v>74.81</v>
      </c>
      <c r="K392" s="17" t="n">
        <v>84.76000000000001</v>
      </c>
      <c r="L392" s="17" t="n">
        <v>25.86</v>
      </c>
      <c r="M392" s="17" t="n">
        <v>0</v>
      </c>
      <c r="N392" s="17">
        <f>K392*0.08+L392*0.08</f>
        <v/>
      </c>
      <c r="O392" s="17">
        <f>-(K392*0.025+L392*0.025)</f>
        <v/>
      </c>
      <c r="P392" s="17">
        <f>32</f>
        <v/>
      </c>
      <c r="Q392" s="17">
        <f>J392+L392+N392+O392-P392-M392</f>
        <v/>
      </c>
    </row>
    <row r="393">
      <c r="A393" s="16" t="inlineStr">
        <is>
          <t>5.29-6.4</t>
        </is>
      </c>
      <c r="B393" s="16" t="inlineStr">
        <is>
          <t>PO-128-03023299807351530</t>
        </is>
      </c>
      <c r="C393" s="16" t="inlineStr">
        <is>
          <t>Shipped</t>
        </is>
      </c>
      <c r="D393" s="16" t="inlineStr">
        <is>
          <t>128-03023341750391530</t>
        </is>
      </c>
      <c r="E393" s="16" t="inlineStr">
        <is>
          <t>Shipped</t>
        </is>
      </c>
      <c r="F393" s="16" t="inlineStr">
        <is>
          <t>A500-A</t>
        </is>
      </c>
      <c r="G393" s="16" t="inlineStr">
        <is>
          <t>Bocina Bluetooth Portátil Barra de Sonido, Inalámbrica con FM Radio, TWS, USB/TF, Graves Potentes para Hogar y Exteriores</t>
        </is>
      </c>
      <c r="H393" s="16" t="inlineStr">
        <is>
          <t>AZUL</t>
        </is>
      </c>
      <c r="I393" s="16" t="n">
        <v>1</v>
      </c>
      <c r="J393" s="17" t="n">
        <v>74.81</v>
      </c>
      <c r="K393" s="17" t="n">
        <v>84.76000000000001</v>
      </c>
      <c r="L393" s="17" t="n">
        <v>25.86</v>
      </c>
      <c r="M393" s="17" t="n">
        <v>0</v>
      </c>
      <c r="N393" s="17">
        <f>K393*0.08+L393*0.08</f>
        <v/>
      </c>
      <c r="O393" s="17">
        <f>-(K393*0.025+L393*0.025)</f>
        <v/>
      </c>
      <c r="P393" s="17">
        <f>32</f>
        <v/>
      </c>
      <c r="Q393" s="17">
        <f>J393+L393+N393+O393-P393-M393</f>
        <v/>
      </c>
    </row>
    <row r="394">
      <c r="A394" s="16" t="inlineStr">
        <is>
          <t>5.29-6.4</t>
        </is>
      </c>
      <c r="B394" s="16" t="inlineStr">
        <is>
          <t>PO-128-02904387285110001</t>
        </is>
      </c>
      <c r="C394" s="16" t="inlineStr">
        <is>
          <t>Shipped</t>
        </is>
      </c>
      <c r="D394" s="16" t="inlineStr">
        <is>
          <t>128-02904366313590001</t>
        </is>
      </c>
      <c r="E394" s="16" t="inlineStr">
        <is>
          <t>Shipped</t>
        </is>
      </c>
      <c r="F394" s="16" t="inlineStr">
        <is>
          <t>A500-N</t>
        </is>
      </c>
      <c r="G394" s="16" t="inlineStr">
        <is>
          <t>Bocina Bluetooth Portátil Barra de Sonido, Inalámbrica con FM Radio, TWS, USB/TF, Graves Potentes para Hogar y Exteriores</t>
        </is>
      </c>
      <c r="H394" s="16" t="inlineStr">
        <is>
          <t>NEGRO</t>
        </is>
      </c>
      <c r="I394" s="16" t="n">
        <v>2</v>
      </c>
      <c r="J394" s="17" t="n">
        <v>159.64</v>
      </c>
      <c r="K394" s="17" t="n">
        <v>180.8</v>
      </c>
      <c r="L394" s="17" t="n">
        <v>25.86</v>
      </c>
      <c r="M394" s="17" t="n">
        <v>0</v>
      </c>
      <c r="N394" s="17">
        <f>K394*0.08+L394*0.08</f>
        <v/>
      </c>
      <c r="O394" s="17">
        <f>-(K394*0.025+L394*0.025)</f>
        <v/>
      </c>
      <c r="P394" s="17">
        <f>32</f>
        <v/>
      </c>
      <c r="Q394" s="17">
        <f>J394+L394+N394+O394-P394-M394</f>
        <v/>
      </c>
    </row>
    <row r="395">
      <c r="A395" s="16" t="inlineStr">
        <is>
          <t>5.29-6.4</t>
        </is>
      </c>
      <c r="B395" s="16" t="inlineStr">
        <is>
          <t>PO-128-03261310451832160</t>
        </is>
      </c>
      <c r="C395" s="16" t="inlineStr">
        <is>
          <t>Shipped</t>
        </is>
      </c>
      <c r="D395" s="16" t="inlineStr">
        <is>
          <t>128-03261289480312160</t>
        </is>
      </c>
      <c r="E395" s="16" t="inlineStr">
        <is>
          <t>Shipped</t>
        </is>
      </c>
      <c r="F395" s="16" t="inlineStr">
        <is>
          <t>A500-A</t>
        </is>
      </c>
      <c r="G395" s="16" t="inlineStr">
        <is>
          <t>Bocina Bluetooth Portátil Barra de Sonido, Inalámbrica con FM Radio, TWS, USB/TF, Graves Potentes para Hogar y Exteriores</t>
        </is>
      </c>
      <c r="H395" s="16" t="inlineStr">
        <is>
          <t>AZUL</t>
        </is>
      </c>
      <c r="I395" s="16" t="n">
        <v>1</v>
      </c>
      <c r="J395" s="17" t="n">
        <v>74.81</v>
      </c>
      <c r="K395" s="17" t="n">
        <v>84.76000000000001</v>
      </c>
      <c r="L395" s="17" t="n">
        <v>25.86</v>
      </c>
      <c r="M395" s="17" t="n">
        <v>0</v>
      </c>
      <c r="N395" s="17">
        <f>K395*0.08+L395*0.08</f>
        <v/>
      </c>
      <c r="O395" s="17">
        <f>-(K395*0.025+L395*0.025)</f>
        <v/>
      </c>
      <c r="P395" s="17">
        <f>32</f>
        <v/>
      </c>
      <c r="Q395" s="17">
        <f>J395+L395+N395+O395-P395-M395</f>
        <v/>
      </c>
    </row>
    <row r="396">
      <c r="A396" s="16" t="inlineStr">
        <is>
          <t>5.29-6.4</t>
        </is>
      </c>
      <c r="B396" s="16" t="inlineStr">
        <is>
          <t>PO-128-03151714281592815</t>
        </is>
      </c>
      <c r="C396" s="16" t="inlineStr">
        <is>
          <t>Shipped</t>
        </is>
      </c>
      <c r="D396" s="16" t="inlineStr">
        <is>
          <t>128-03151735253112815</t>
        </is>
      </c>
      <c r="E396" s="16" t="inlineStr">
        <is>
          <t>Shipped</t>
        </is>
      </c>
      <c r="F396" s="16" t="inlineStr">
        <is>
          <t>A500-R</t>
        </is>
      </c>
      <c r="G396" s="16" t="inlineStr">
        <is>
          <t>Bocina Bluetooth Portátil Barra de Sonido, Inalámbrica con FM Radio, TWS, USB/TF, Graves Potentes para Hogar y Exteriores</t>
        </is>
      </c>
      <c r="H396" s="16" t="inlineStr">
        <is>
          <t>ROIO</t>
        </is>
      </c>
      <c r="I396" s="16" t="n">
        <v>1</v>
      </c>
      <c r="J396" s="17" t="n">
        <v>78.97</v>
      </c>
      <c r="K396" s="17" t="n">
        <v>88.92</v>
      </c>
      <c r="L396" s="17" t="n">
        <v>12.82</v>
      </c>
      <c r="M396" s="17" t="n">
        <v>0</v>
      </c>
      <c r="N396" s="17">
        <f>K396*0.08+L396*0.08</f>
        <v/>
      </c>
      <c r="O396" s="17">
        <f>-(K396*0.025+L396*0.025)</f>
        <v/>
      </c>
      <c r="P396" s="17">
        <f>32</f>
        <v/>
      </c>
      <c r="Q396" s="17">
        <f>J396+L396+N396+O396-P396-M396</f>
        <v/>
      </c>
    </row>
    <row r="397">
      <c r="A397" s="16" t="inlineStr">
        <is>
          <t>5.29-6.4</t>
        </is>
      </c>
      <c r="B397" s="16" t="inlineStr">
        <is>
          <t>PO-128-03151714281592815</t>
        </is>
      </c>
      <c r="C397" s="16" t="inlineStr">
        <is>
          <t>Shipped</t>
        </is>
      </c>
      <c r="D397" s="16" t="inlineStr">
        <is>
          <t>128-03151651367032815</t>
        </is>
      </c>
      <c r="E397" s="16" t="inlineStr">
        <is>
          <t>Shipped</t>
        </is>
      </c>
      <c r="F397" s="16" t="inlineStr">
        <is>
          <t>A500-N</t>
        </is>
      </c>
      <c r="G397" s="16" t="inlineStr">
        <is>
          <t>Bocina Bluetooth Portátil Barra de Sonido, Inalámbrica con FM Radio, TWS, USB/TF, Graves Potentes para Hogar y Exteriores</t>
        </is>
      </c>
      <c r="H397" s="16" t="inlineStr">
        <is>
          <t>NEGRO</t>
        </is>
      </c>
      <c r="I397" s="16" t="n">
        <v>1</v>
      </c>
      <c r="J397" s="17" t="n">
        <v>79.81999999999999</v>
      </c>
      <c r="K397" s="17" t="n">
        <v>90.40000000000001</v>
      </c>
      <c r="L397" s="17" t="n">
        <v>13.04</v>
      </c>
      <c r="M397" s="17" t="n">
        <v>0</v>
      </c>
      <c r="N397" s="17">
        <f>K397*0.08+L397*0.08</f>
        <v/>
      </c>
      <c r="O397" s="17">
        <f>-(K397*0.025+L397*0.025)</f>
        <v/>
      </c>
      <c r="P397" s="17">
        <f>32</f>
        <v/>
      </c>
      <c r="Q397" s="17">
        <f>J397+L397+N397+O397-P397-M397</f>
        <v/>
      </c>
    </row>
    <row r="398">
      <c r="A398" s="16" t="inlineStr">
        <is>
          <t>5.29-6.4</t>
        </is>
      </c>
      <c r="B398" s="16" t="inlineStr">
        <is>
          <t>PO-128-03214430536312377</t>
        </is>
      </c>
      <c r="C398" s="16" t="inlineStr">
        <is>
          <t>Shipped</t>
        </is>
      </c>
      <c r="D398" s="16" t="inlineStr">
        <is>
          <t>128-03214472479352377</t>
        </is>
      </c>
      <c r="E398" s="16" t="inlineStr">
        <is>
          <t>Shipped</t>
        </is>
      </c>
      <c r="F398" s="16" t="inlineStr">
        <is>
          <t>SA320T-N</t>
        </is>
      </c>
      <c r="G398" s="16" t="inlineStr">
        <is>
          <t>Altavoz inalámbrico portátil con Luces RGB, Radio FM y Manija - 5h Duración, TWS, TF Card, Compacto y Recargable via USB，Perfecto para viajes, fiestas y gaming</t>
        </is>
      </c>
      <c r="H398" s="16" t="inlineStr">
        <is>
          <t>negro</t>
        </is>
      </c>
      <c r="I398" s="16" t="n">
        <v>1</v>
      </c>
      <c r="J398" s="17" t="n">
        <v>60</v>
      </c>
      <c r="K398" s="17" t="n">
        <v>50.87</v>
      </c>
      <c r="L398" s="17" t="n">
        <v>25.86</v>
      </c>
      <c r="M398" s="17" t="n">
        <v>0</v>
      </c>
      <c r="N398" s="17">
        <f>K398*0.08+L398*0.08</f>
        <v/>
      </c>
      <c r="O398" s="17">
        <f>-(K398*0.025+L398*0.025)</f>
        <v/>
      </c>
      <c r="P398" s="17">
        <f>32</f>
        <v/>
      </c>
      <c r="Q398" s="17">
        <f>J398+L398+N398+O398-P398-M398</f>
        <v/>
      </c>
    </row>
    <row r="399">
      <c r="A399" s="16" t="inlineStr">
        <is>
          <t>5.29-6.4</t>
        </is>
      </c>
      <c r="B399" s="16" t="inlineStr">
        <is>
          <t>PO-128-03270596301434024</t>
        </is>
      </c>
      <c r="C399" s="16" t="inlineStr">
        <is>
          <t>Shipped</t>
        </is>
      </c>
      <c r="D399" s="16" t="inlineStr">
        <is>
          <t>128-03270588437114024</t>
        </is>
      </c>
      <c r="E399" s="16" t="inlineStr">
        <is>
          <t>Shipped</t>
        </is>
      </c>
      <c r="F399" s="16" t="inlineStr">
        <is>
          <t>MB-185A</t>
        </is>
      </c>
      <c r="G399" s="16" t="inlineStr">
        <is>
          <t>Bocina Radio FM/Reproductor, Compatible con Tarjeta TF, USB, Bluetooth, Aplicable para celular, computadora, Ipad y consola</t>
        </is>
      </c>
      <c r="H399" s="16" t="inlineStr">
        <is>
          <t>AZUL/MB-185</t>
        </is>
      </c>
      <c r="I399" s="16" t="n">
        <v>1</v>
      </c>
      <c r="J399" s="17" t="n">
        <v>75</v>
      </c>
      <c r="K399" s="17" t="n">
        <v>87.94</v>
      </c>
      <c r="L399" s="17" t="n">
        <v>25.86</v>
      </c>
      <c r="M399" s="17" t="n">
        <v>0</v>
      </c>
      <c r="N399" s="17">
        <f>K399*0.08+L399*0.08</f>
        <v/>
      </c>
      <c r="O399" s="17">
        <f>-(K399*0.025+L399*0.025)</f>
        <v/>
      </c>
      <c r="P399" s="17">
        <f>32</f>
        <v/>
      </c>
      <c r="Q399" s="17">
        <f>J399+L399+N399+O399-P399-M399</f>
        <v/>
      </c>
    </row>
    <row r="400">
      <c r="A400" s="16" t="inlineStr">
        <is>
          <t>5.29-6.4</t>
        </is>
      </c>
      <c r="B400" s="16" t="inlineStr">
        <is>
          <t>PO-128-03139452314232694</t>
        </is>
      </c>
      <c r="C400" s="16" t="inlineStr">
        <is>
          <t>Shipped</t>
        </is>
      </c>
      <c r="D400" s="16" t="inlineStr">
        <is>
          <t>128-03139504743032694</t>
        </is>
      </c>
      <c r="E400" s="16" t="inlineStr">
        <is>
          <t>Shipped</t>
        </is>
      </c>
      <c r="F400" s="16" t="inlineStr">
        <is>
          <t>A500-A</t>
        </is>
      </c>
      <c r="G400" s="16" t="inlineStr">
        <is>
          <t>Bocina Bluetooth Portátil Barra de Sonido, Inalámbrica con FM Radio, TWS, USB/TF, Graves Potentes para Hogar y Exteriores</t>
        </is>
      </c>
      <c r="H400" s="16" t="inlineStr">
        <is>
          <t>AZUL</t>
        </is>
      </c>
      <c r="I400" s="16" t="n">
        <v>1</v>
      </c>
      <c r="J400" s="17" t="n">
        <v>74.81</v>
      </c>
      <c r="K400" s="17" t="n">
        <v>84.76000000000001</v>
      </c>
      <c r="L400" s="17" t="n">
        <v>25.86</v>
      </c>
      <c r="M400" s="17" t="n">
        <v>0</v>
      </c>
      <c r="N400" s="17">
        <f>K400*0.08+L400*0.08</f>
        <v/>
      </c>
      <c r="O400" s="17">
        <f>-(K400*0.025+L400*0.025)</f>
        <v/>
      </c>
      <c r="P400" s="17">
        <f>32</f>
        <v/>
      </c>
      <c r="Q400" s="17">
        <f>J400+L400+N400+O400-P400-M400</f>
        <v/>
      </c>
    </row>
    <row r="401">
      <c r="A401" s="16" t="inlineStr">
        <is>
          <t>5.29-6.4</t>
        </is>
      </c>
      <c r="B401" s="16" t="inlineStr">
        <is>
          <t>PO-128-03030286336631299</t>
        </is>
      </c>
      <c r="C401" s="16" t="inlineStr">
        <is>
          <t>Shipped</t>
        </is>
      </c>
      <c r="D401" s="16" t="inlineStr">
        <is>
          <t>128-03030244393591299</t>
        </is>
      </c>
      <c r="E401" s="16" t="inlineStr">
        <is>
          <t>Shipped</t>
        </is>
      </c>
      <c r="F401" s="16" t="inlineStr">
        <is>
          <t>MB-185A</t>
        </is>
      </c>
      <c r="G401" s="16" t="inlineStr">
        <is>
          <t>Bocina Radio FM/Reproductor, Compatible con Tarjeta TF, USB, Bluetooth, Aplicable para celular, computadora, Ipad y consola</t>
        </is>
      </c>
      <c r="H401" s="16" t="inlineStr">
        <is>
          <t>AZUL/MB-185</t>
        </is>
      </c>
      <c r="I401" s="16" t="n">
        <v>1</v>
      </c>
      <c r="J401" s="17" t="n">
        <v>75</v>
      </c>
      <c r="K401" s="17" t="n">
        <v>87.94</v>
      </c>
      <c r="L401" s="17" t="n">
        <v>25.86</v>
      </c>
      <c r="M401" s="17" t="n">
        <v>0</v>
      </c>
      <c r="N401" s="17">
        <f>K401*0.08+L401*0.08</f>
        <v/>
      </c>
      <c r="O401" s="17">
        <f>-(K401*0.025+L401*0.025)</f>
        <v/>
      </c>
      <c r="P401" s="17">
        <f>32</f>
        <v/>
      </c>
      <c r="Q401" s="17">
        <f>J401+L401+N401+O401-P401-M401</f>
        <v/>
      </c>
    </row>
    <row r="402">
      <c r="A402" s="16" t="inlineStr">
        <is>
          <t>5.29-6.4</t>
        </is>
      </c>
      <c r="B402" s="16" t="inlineStr">
        <is>
          <t>PO-128-02966052854391681</t>
        </is>
      </c>
      <c r="C402" s="16" t="inlineStr">
        <is>
          <t>Shipped</t>
        </is>
      </c>
      <c r="D402" s="16" t="inlineStr">
        <is>
          <t>128-02966204897911681</t>
        </is>
      </c>
      <c r="E402" s="16" t="inlineStr">
        <is>
          <t>Shipped</t>
        </is>
      </c>
      <c r="F402" s="16" t="inlineStr">
        <is>
          <t>A500-N</t>
        </is>
      </c>
      <c r="G402" s="16" t="inlineStr">
        <is>
          <t>Bocina Bluetooth Portátil Barra de Sonido, Inalámbrica con FM Radio, TWS, USB/TF, Graves Potentes para Hogar y Exteriores</t>
        </is>
      </c>
      <c r="H402" s="16" t="inlineStr">
        <is>
          <t>NEGRO</t>
        </is>
      </c>
      <c r="I402" s="16" t="n">
        <v>1</v>
      </c>
      <c r="J402" s="17" t="n">
        <v>79.81999999999999</v>
      </c>
      <c r="K402" s="17" t="n">
        <v>72.31999999999999</v>
      </c>
      <c r="L402" s="17" t="n">
        <v>25.86</v>
      </c>
      <c r="M402" s="17" t="n">
        <v>0</v>
      </c>
      <c r="N402" s="17">
        <f>K402*0.08+L402*0.08</f>
        <v/>
      </c>
      <c r="O402" s="17">
        <f>-(K402*0.025+L402*0.025)</f>
        <v/>
      </c>
      <c r="P402" s="17">
        <f>32</f>
        <v/>
      </c>
      <c r="Q402" s="17">
        <f>J402+L402+N402+O402-P402-M402</f>
        <v/>
      </c>
    </row>
    <row r="403">
      <c r="A403" s="16" t="inlineStr">
        <is>
          <t>5.29-6.4</t>
        </is>
      </c>
      <c r="B403" s="16" t="inlineStr">
        <is>
          <t>PO-128-03104506440313030</t>
        </is>
      </c>
      <c r="C403" s="16" t="inlineStr">
        <is>
          <t>Shipped</t>
        </is>
      </c>
      <c r="D403" s="16" t="inlineStr">
        <is>
          <t>128-03104532654713030</t>
        </is>
      </c>
      <c r="E403" s="16" t="inlineStr">
        <is>
          <t>Shipped</t>
        </is>
      </c>
      <c r="F403" s="16" t="inlineStr">
        <is>
          <t>MB-184N</t>
        </is>
      </c>
      <c r="G403" s="16" t="inlineStr">
        <is>
          <t>Linkbits Portable Bluetooth Speaker - 800W Peak Power, 50W Full-Range Audio with Dual Bass System &amp; Deep Bass Membranes, Powerful &amp; Distortion-Free Sound, IP65 Waterproof Dustproof, TWS Support &amp; 6H Battery for Outdoor/Party</t>
        </is>
      </c>
      <c r="H403" s="16" t="inlineStr">
        <is>
          <t>NEGRO/MB-184</t>
        </is>
      </c>
      <c r="I403" s="16" t="n">
        <v>1</v>
      </c>
      <c r="J403" s="17" t="n">
        <v>588</v>
      </c>
      <c r="K403" s="17" t="n">
        <v>697.61</v>
      </c>
      <c r="L403" s="17" t="n">
        <v>0</v>
      </c>
      <c r="M403" s="17" t="n">
        <v>0</v>
      </c>
      <c r="N403" s="17">
        <f>K403*0.08+L403*0.08</f>
        <v/>
      </c>
      <c r="O403" s="17">
        <f>-(K403*0.025+L403*0.025)</f>
        <v/>
      </c>
      <c r="P403" s="17">
        <f>32</f>
        <v/>
      </c>
      <c r="Q403" s="17">
        <f>J403+L403+N403+O403-P403-M403</f>
        <v/>
      </c>
    </row>
    <row r="404">
      <c r="A404" s="16" t="inlineStr">
        <is>
          <t>5.29-6.4</t>
        </is>
      </c>
      <c r="B404" s="16" t="inlineStr">
        <is>
          <t>PO-128-03024793933431523</t>
        </is>
      </c>
      <c r="C404" s="16" t="inlineStr">
        <is>
          <t>Shipped</t>
        </is>
      </c>
      <c r="D404" s="16" t="inlineStr">
        <is>
          <t>128-03024788690551523</t>
        </is>
      </c>
      <c r="E404" s="16" t="inlineStr">
        <is>
          <t>Shipped</t>
        </is>
      </c>
      <c r="F404" s="16" t="inlineStr">
        <is>
          <t>MB-185R</t>
        </is>
      </c>
      <c r="G404" s="16" t="inlineStr">
        <is>
          <t>Bocina Radio FM/Reproductor, Compatible con Tarjeta TF, USB, Bluetooth, Aplicable para celular, computadora, Ipad y consola</t>
        </is>
      </c>
      <c r="H404" s="16" t="inlineStr">
        <is>
          <t>ROJO/MB-185</t>
        </is>
      </c>
      <c r="I404" s="16" t="n">
        <v>1</v>
      </c>
      <c r="J404" s="17" t="n">
        <v>77.5</v>
      </c>
      <c r="K404" s="17" t="n">
        <v>67.98</v>
      </c>
      <c r="L404" s="17" t="n">
        <v>25.86</v>
      </c>
      <c r="M404" s="17" t="n">
        <v>0</v>
      </c>
      <c r="N404" s="17">
        <f>K404*0.08+L404*0.08</f>
        <v/>
      </c>
      <c r="O404" s="17">
        <f>-(K404*0.025+L404*0.025)</f>
        <v/>
      </c>
      <c r="P404" s="17">
        <f>32</f>
        <v/>
      </c>
      <c r="Q404" s="17">
        <f>J404+L404+N404+O404-P404-M404</f>
        <v/>
      </c>
    </row>
    <row r="405">
      <c r="A405" s="16" t="inlineStr">
        <is>
          <t>5.29-6.4</t>
        </is>
      </c>
      <c r="B405" s="16" t="inlineStr">
        <is>
          <t>PO-128-02942710159991821</t>
        </is>
      </c>
      <c r="C405" s="16" t="inlineStr">
        <is>
          <t>Shipped</t>
        </is>
      </c>
      <c r="D405" s="16" t="inlineStr">
        <is>
          <t>128-02942715402871821</t>
        </is>
      </c>
      <c r="E405" s="16" t="inlineStr">
        <is>
          <t>Shipped</t>
        </is>
      </c>
      <c r="F405" s="16" t="inlineStr">
        <is>
          <t>MB-184N</t>
        </is>
      </c>
      <c r="G405" s="16" t="inlineStr">
        <is>
          <t>Linkbits Portable Bluetooth Speaker - 800W Peak Power, 50W Full-Range Audio with Dual Bass System &amp; Deep Bass Membranes, Powerful &amp; Distortion-Free Sound, IP65 Waterproof Dustproof, TWS Support &amp; 6H Battery for Outdoor/Party</t>
        </is>
      </c>
      <c r="H405" s="16" t="inlineStr">
        <is>
          <t>NEGRO/MB-184</t>
        </is>
      </c>
      <c r="I405" s="16" t="n">
        <v>1</v>
      </c>
      <c r="J405" s="17" t="n">
        <v>588</v>
      </c>
      <c r="K405" s="17" t="n">
        <v>661.88</v>
      </c>
      <c r="L405" s="17" t="n">
        <v>0</v>
      </c>
      <c r="M405" s="17" t="n">
        <v>0</v>
      </c>
      <c r="N405" s="17">
        <f>K405*0.08+L405*0.08</f>
        <v/>
      </c>
      <c r="O405" s="17">
        <f>-(K405*0.025+L405*0.025)</f>
        <v/>
      </c>
      <c r="P405" s="17">
        <f>32</f>
        <v/>
      </c>
      <c r="Q405" s="17">
        <f>J405+L405+N405+O405-P405-M405</f>
        <v/>
      </c>
    </row>
    <row r="406">
      <c r="A406" s="16" t="inlineStr">
        <is>
          <t>5.29-6.4</t>
        </is>
      </c>
      <c r="B406" s="16" t="inlineStr">
        <is>
          <t>PO-128-03110677018233059</t>
        </is>
      </c>
      <c r="C406" s="16" t="inlineStr">
        <is>
          <t>Shipped</t>
        </is>
      </c>
      <c r="D406" s="16" t="inlineStr">
        <is>
          <t>128-03110708475513059</t>
        </is>
      </c>
      <c r="E406" s="16" t="inlineStr">
        <is>
          <t>Shipped</t>
        </is>
      </c>
      <c r="F406" s="16" t="inlineStr">
        <is>
          <t>A500-N</t>
        </is>
      </c>
      <c r="G406" s="16" t="inlineStr">
        <is>
          <t>Bocina Bluetooth Portátil Barra de Sonido, Inalámbrica con FM Radio, TWS, USB/TF, Graves Potentes para Hogar y Exteriores</t>
        </is>
      </c>
      <c r="H406" s="16" t="inlineStr">
        <is>
          <t>NEGRO</t>
        </is>
      </c>
      <c r="I406" s="16" t="n">
        <v>1</v>
      </c>
      <c r="J406" s="17" t="n">
        <v>79.81999999999999</v>
      </c>
      <c r="K406" s="17" t="n">
        <v>90.40000000000001</v>
      </c>
      <c r="L406" s="17" t="n">
        <v>25.86</v>
      </c>
      <c r="M406" s="17" t="n">
        <v>0</v>
      </c>
      <c r="N406" s="17">
        <f>K406*0.08+L406*0.08</f>
        <v/>
      </c>
      <c r="O406" s="17">
        <f>-(K406*0.025+L406*0.025)</f>
        <v/>
      </c>
      <c r="P406" s="17">
        <f>32</f>
        <v/>
      </c>
      <c r="Q406" s="17">
        <f>J406+L406+N406+O406-P406-M406</f>
        <v/>
      </c>
    </row>
    <row r="407">
      <c r="A407" s="16" t="inlineStr">
        <is>
          <t>5.29-6.4</t>
        </is>
      </c>
      <c r="B407" s="16" t="inlineStr">
        <is>
          <t>PO-128-03181240566392447</t>
        </is>
      </c>
      <c r="C407" s="16" t="inlineStr">
        <is>
          <t>Shipped</t>
        </is>
      </c>
      <c r="D407" s="16" t="inlineStr">
        <is>
          <t>128-03181261537912447</t>
        </is>
      </c>
      <c r="E407" s="16" t="inlineStr">
        <is>
          <t>Shipped</t>
        </is>
      </c>
      <c r="F407" s="16" t="inlineStr">
        <is>
          <t>A500-N</t>
        </is>
      </c>
      <c r="G407" s="16" t="inlineStr">
        <is>
          <t>Bocina Bluetooth Portátil Barra de Sonido, Inalámbrica con FM Radio, TWS, USB/TF, Graves Potentes para Hogar y Exteriores</t>
        </is>
      </c>
      <c r="H407" s="16" t="inlineStr">
        <is>
          <t>NEGRO</t>
        </is>
      </c>
      <c r="I407" s="16" t="n">
        <v>1</v>
      </c>
      <c r="J407" s="17" t="n">
        <v>79.81999999999999</v>
      </c>
      <c r="K407" s="17" t="n">
        <v>90.40000000000001</v>
      </c>
      <c r="L407" s="17" t="n">
        <v>25.86</v>
      </c>
      <c r="M407" s="17" t="n">
        <v>0</v>
      </c>
      <c r="N407" s="17">
        <f>K407*0.08+L407*0.08</f>
        <v/>
      </c>
      <c r="O407" s="17">
        <f>-(K407*0.025+L407*0.025)</f>
        <v/>
      </c>
      <c r="P407" s="17">
        <f>32</f>
        <v/>
      </c>
      <c r="Q407" s="17">
        <f>J407+L407+N407+O407-P407-M407</f>
        <v/>
      </c>
    </row>
    <row r="408">
      <c r="A408" s="16" t="inlineStr">
        <is>
          <t>5.29-6.4</t>
        </is>
      </c>
      <c r="B408" s="16" t="inlineStr">
        <is>
          <t>PO-128-03128612910712889</t>
        </is>
      </c>
      <c r="C408" s="16" t="inlineStr">
        <is>
          <t>Shipped</t>
        </is>
      </c>
      <c r="D408" s="16" t="inlineStr">
        <is>
          <t>128-03128607667832889</t>
        </is>
      </c>
      <c r="E408" s="16" t="inlineStr">
        <is>
          <t>Shipped</t>
        </is>
      </c>
      <c r="F408" s="16" t="inlineStr">
        <is>
          <t>MB-185N</t>
        </is>
      </c>
      <c r="G408" s="16" t="inlineStr">
        <is>
          <t>Bocina Radio FM/Reproductor, Compatible con Tarjeta TF, USB, Bluetooth, Aplicable para celular, computadora, Ipad y consola</t>
        </is>
      </c>
      <c r="H408" s="16" t="inlineStr">
        <is>
          <t>NEGRO/MB-185</t>
        </is>
      </c>
      <c r="I408" s="16" t="n">
        <v>1</v>
      </c>
      <c r="J408" s="17" t="n">
        <v>77.5</v>
      </c>
      <c r="K408" s="17" t="n">
        <v>90.44</v>
      </c>
      <c r="L408" s="17" t="n">
        <v>25.86</v>
      </c>
      <c r="M408" s="17" t="n">
        <v>0</v>
      </c>
      <c r="N408" s="17">
        <f>K408*0.08+L408*0.08</f>
        <v/>
      </c>
      <c r="O408" s="17">
        <f>-(K408*0.025+L408*0.025)</f>
        <v/>
      </c>
      <c r="P408" s="17">
        <f>32</f>
        <v/>
      </c>
      <c r="Q408" s="17">
        <f>J408+L408+N408+O408-P408-M408</f>
        <v/>
      </c>
    </row>
    <row r="409">
      <c r="A409" s="16" t="inlineStr">
        <is>
          <t>5.29-6.4</t>
        </is>
      </c>
      <c r="B409" s="16" t="inlineStr">
        <is>
          <t>PO-128-03292537984633895</t>
        </is>
      </c>
      <c r="C409" s="16" t="inlineStr">
        <is>
          <t>Shipped</t>
        </is>
      </c>
      <c r="D409" s="16" t="inlineStr">
        <is>
          <t>128-03292690028153895</t>
        </is>
      </c>
      <c r="E409" s="16" t="inlineStr">
        <is>
          <t>Shipped</t>
        </is>
      </c>
      <c r="F409" s="16" t="inlineStr">
        <is>
          <t>MB-183R</t>
        </is>
      </c>
      <c r="G409" s="16" t="inlineStr">
        <is>
          <t>Linkbits Altavoz Bluetooth Portátil con Stereo Inalámbrico TWS Impermeable y a Prueba de Polvo IP65 Altavoz de Graves de Rango Completo de 52mm con Doble Unidad Ligero de 215g para Camping Senderismo y Fiestas al Aire Libre</t>
        </is>
      </c>
      <c r="H409" s="16" t="inlineStr">
        <is>
          <t>ROJO/MB-183</t>
        </is>
      </c>
      <c r="I409" s="16" t="n">
        <v>1</v>
      </c>
      <c r="J409" s="17" t="n">
        <v>95</v>
      </c>
      <c r="K409" s="17" t="n">
        <v>112.38</v>
      </c>
      <c r="L409" s="17" t="n">
        <v>25.86</v>
      </c>
      <c r="M409" s="17" t="n">
        <v>0</v>
      </c>
      <c r="N409" s="17">
        <f>K409*0.08+L409*0.08</f>
        <v/>
      </c>
      <c r="O409" s="17">
        <f>-(K409*0.025+L409*0.025)</f>
        <v/>
      </c>
      <c r="P409" s="17">
        <f>32</f>
        <v/>
      </c>
      <c r="Q409" s="17">
        <f>J409+L409+N409+O409-P409-M409</f>
        <v/>
      </c>
    </row>
    <row r="410">
      <c r="A410" s="16" t="inlineStr">
        <is>
          <t>5.29-6.4</t>
        </is>
      </c>
      <c r="B410" s="16" t="inlineStr">
        <is>
          <t>PO-128-03342797210233658</t>
        </is>
      </c>
      <c r="C410" s="16" t="inlineStr">
        <is>
          <t>Shipped</t>
        </is>
      </c>
      <c r="D410" s="16" t="inlineStr">
        <is>
          <t>128-03342786724473658</t>
        </is>
      </c>
      <c r="E410" s="16" t="inlineStr">
        <is>
          <t>Shipped</t>
        </is>
      </c>
      <c r="F410" s="16" t="inlineStr">
        <is>
          <t>SA320T-R</t>
        </is>
      </c>
      <c r="G410" s="16" t="inlineStr">
        <is>
          <t>Altavoz inalámbrico portátil con Luces RGB, Radio FM y Manija - 5h Duración, TWS, TF Card, Compacto y Recargable via USB，Perfecto para viajes, fiestas y gaming</t>
        </is>
      </c>
      <c r="H410" s="16" t="inlineStr">
        <is>
          <t>rojo</t>
        </is>
      </c>
      <c r="I410" s="16" t="n">
        <v>1</v>
      </c>
      <c r="J410" s="17" t="n">
        <v>56</v>
      </c>
      <c r="K410" s="17" t="n">
        <v>66.72</v>
      </c>
      <c r="L410" s="17" t="n">
        <v>25.86</v>
      </c>
      <c r="M410" s="17" t="n">
        <v>0</v>
      </c>
      <c r="N410" s="17">
        <f>K410*0.08+L410*0.08</f>
        <v/>
      </c>
      <c r="O410" s="17">
        <f>-(K410*0.025+L410*0.025)</f>
        <v/>
      </c>
      <c r="P410" s="17">
        <f>32</f>
        <v/>
      </c>
      <c r="Q410" s="17">
        <f>J410+L410+N410+O410-P410-M410</f>
        <v/>
      </c>
    </row>
    <row r="411">
      <c r="A411" s="16" t="inlineStr">
        <is>
          <t>5.29-6.4</t>
        </is>
      </c>
      <c r="B411" s="16" t="inlineStr">
        <is>
          <t>PO-128-03134701466232914</t>
        </is>
      </c>
      <c r="C411" s="16" t="inlineStr">
        <is>
          <t>Shipped</t>
        </is>
      </c>
      <c r="D411" s="16" t="inlineStr">
        <is>
          <t>128-03134693601912914</t>
        </is>
      </c>
      <c r="E411" s="16" t="inlineStr">
        <is>
          <t>Shipped</t>
        </is>
      </c>
      <c r="F411" s="16" t="inlineStr">
        <is>
          <t>A500-A</t>
        </is>
      </c>
      <c r="G411" s="16" t="inlineStr">
        <is>
          <t>Bocina Bluetooth Portátil Barra de Sonido, Inalámbrica con FM Radio, TWS, USB/TF, Graves Potentes para Hogar y Exteriores</t>
        </is>
      </c>
      <c r="H411" s="16" t="inlineStr">
        <is>
          <t>AZUL</t>
        </is>
      </c>
      <c r="I411" s="16" t="n">
        <v>1</v>
      </c>
      <c r="J411" s="17" t="n">
        <v>74.81</v>
      </c>
      <c r="K411" s="17" t="n">
        <v>84.76000000000001</v>
      </c>
      <c r="L411" s="17" t="n">
        <v>25.86</v>
      </c>
      <c r="M411" s="17" t="n">
        <v>0</v>
      </c>
      <c r="N411" s="17">
        <f>K411*0.08+L411*0.08</f>
        <v/>
      </c>
      <c r="O411" s="17">
        <f>-(K411*0.025+L411*0.025)</f>
        <v/>
      </c>
      <c r="P411" s="17">
        <f>32</f>
        <v/>
      </c>
      <c r="Q411" s="17">
        <f>J411+L411+N411+O411-P411-M411</f>
        <v/>
      </c>
    </row>
    <row r="412">
      <c r="A412" s="16" t="inlineStr">
        <is>
          <t>5.29-6.4</t>
        </is>
      </c>
      <c r="B412" s="16" t="inlineStr">
        <is>
          <t>PO-128-03316187136633752</t>
        </is>
      </c>
      <c r="C412" s="16" t="inlineStr">
        <is>
          <t>Shipped</t>
        </is>
      </c>
      <c r="D412" s="16" t="inlineStr">
        <is>
          <t>128-03316263158393752</t>
        </is>
      </c>
      <c r="E412" s="16" t="inlineStr">
        <is>
          <t>Shipped</t>
        </is>
      </c>
      <c r="F412" s="16" t="inlineStr">
        <is>
          <t>A500-N</t>
        </is>
      </c>
      <c r="G412" s="16" t="inlineStr">
        <is>
          <t>Bocina Bluetooth Portátil Barra de Sonido, Inalámbrica con FM Radio, TWS, USB/TF, Graves Potentes para Hogar y Exteriores</t>
        </is>
      </c>
      <c r="H412" s="16" t="inlineStr">
        <is>
          <t>NEGRO</t>
        </is>
      </c>
      <c r="I412" s="16" t="n">
        <v>1</v>
      </c>
      <c r="J412" s="17" t="n">
        <v>79.81999999999999</v>
      </c>
      <c r="K412" s="17" t="n">
        <v>90.40000000000001</v>
      </c>
      <c r="L412" s="17" t="n">
        <v>25.86</v>
      </c>
      <c r="M412" s="17" t="n">
        <v>0</v>
      </c>
      <c r="N412" s="17">
        <f>K412*0.08+L412*0.08</f>
        <v/>
      </c>
      <c r="O412" s="17">
        <f>-(K412*0.025+L412*0.025)</f>
        <v/>
      </c>
      <c r="P412" s="17">
        <f>32</f>
        <v/>
      </c>
      <c r="Q412" s="17">
        <f>J412+L412+N412+O412-P412-M412</f>
        <v/>
      </c>
    </row>
    <row r="413">
      <c r="A413" s="16" t="inlineStr">
        <is>
          <t>5.29-6.4</t>
        </is>
      </c>
      <c r="B413" s="16" t="inlineStr">
        <is>
          <t>PO-128-18923074458231288</t>
        </is>
      </c>
      <c r="C413" s="16" t="inlineStr">
        <is>
          <t>Shipped</t>
        </is>
      </c>
      <c r="D413" s="16" t="inlineStr">
        <is>
          <t>128-18923116401271288</t>
        </is>
      </c>
      <c r="E413" s="16" t="inlineStr">
        <is>
          <t>Shipped</t>
        </is>
      </c>
      <c r="F413" s="16" t="inlineStr">
        <is>
          <t>A500-N</t>
        </is>
      </c>
      <c r="G413" s="16" t="inlineStr">
        <is>
          <t>Bocina Bluetooth Portátil Barra de Sonido, Inalámbrica con FM Radio, TWS, USB/TF, Graves Potentes para Hogar y Exteriores</t>
        </is>
      </c>
      <c r="H413" s="16" t="inlineStr">
        <is>
          <t>NEGRO</t>
        </is>
      </c>
      <c r="I413" s="16" t="n">
        <v>1</v>
      </c>
      <c r="J413" s="17" t="n">
        <v>79.81999999999999</v>
      </c>
      <c r="K413" s="17" t="n">
        <v>30.06</v>
      </c>
      <c r="L413" s="17" t="n">
        <v>25.86</v>
      </c>
      <c r="M413" s="17" t="n">
        <v>0</v>
      </c>
      <c r="N413" s="17">
        <f>K413*0.08+L413*0.08</f>
        <v/>
      </c>
      <c r="O413" s="17">
        <f>-(K413*0.025+L413*0.025)</f>
        <v/>
      </c>
      <c r="P413" s="17">
        <f>32</f>
        <v/>
      </c>
      <c r="Q413" s="17">
        <f>J413+L413+N413+O413-P413-M413</f>
        <v/>
      </c>
    </row>
    <row r="414">
      <c r="A414" s="16" t="inlineStr">
        <is>
          <t>5.29-6.4</t>
        </is>
      </c>
      <c r="B414" s="16" t="inlineStr">
        <is>
          <t>PO-128-19080341135990417</t>
        </is>
      </c>
      <c r="C414" s="16" t="inlineStr">
        <is>
          <t>Shipped</t>
        </is>
      </c>
      <c r="D414" s="16" t="inlineStr">
        <is>
          <t>128-19080362107510417</t>
        </is>
      </c>
      <c r="E414" s="16" t="inlineStr">
        <is>
          <t>Shipped</t>
        </is>
      </c>
      <c r="F414" s="16" t="inlineStr">
        <is>
          <t>A500-N</t>
        </is>
      </c>
      <c r="G414" s="16" t="inlineStr">
        <is>
          <t>Bocina Bluetooth Portátil Barra de Sonido, Inalámbrica con FM Radio, TWS, USB/TF, Graves Potentes para Hogar y Exteriores</t>
        </is>
      </c>
      <c r="H414" s="16" t="inlineStr">
        <is>
          <t>NEGRO</t>
        </is>
      </c>
      <c r="I414" s="16" t="n">
        <v>1</v>
      </c>
      <c r="J414" s="17" t="n">
        <v>79.81999999999999</v>
      </c>
      <c r="K414" s="17" t="n">
        <v>72.31999999999999</v>
      </c>
      <c r="L414" s="17" t="n">
        <v>25.86</v>
      </c>
      <c r="M414" s="17" t="n">
        <v>0</v>
      </c>
      <c r="N414" s="17">
        <f>K414*0.08+L414*0.08</f>
        <v/>
      </c>
      <c r="O414" s="17">
        <f>-(K414*0.025+L414*0.025)</f>
        <v/>
      </c>
      <c r="P414" s="17">
        <f>32</f>
        <v/>
      </c>
      <c r="Q414" s="17">
        <f>J414+L414+N414+O414-P414-M414</f>
        <v/>
      </c>
    </row>
    <row r="415">
      <c r="A415" s="16" t="inlineStr">
        <is>
          <t>5.29-6.4</t>
        </is>
      </c>
      <c r="B415" s="16" t="inlineStr">
        <is>
          <t>PO-128-19011843607671849</t>
        </is>
      </c>
      <c r="C415" s="16" t="inlineStr">
        <is>
          <t>Shipped</t>
        </is>
      </c>
      <c r="D415" s="16" t="inlineStr">
        <is>
          <t>128-19011822636151849</t>
        </is>
      </c>
      <c r="E415" s="16" t="inlineStr">
        <is>
          <t>Shipped</t>
        </is>
      </c>
      <c r="F415" s="16" t="inlineStr">
        <is>
          <t>A500-A</t>
        </is>
      </c>
      <c r="G415" s="16" t="inlineStr">
        <is>
          <t>Bocina Bluetooth Portátil Barra de Sonido, Inalámbrica con FM Radio, TWS, USB/TF, Graves Potentes para Hogar y Exteriores</t>
        </is>
      </c>
      <c r="H415" s="16" t="inlineStr">
        <is>
          <t>AZUL</t>
        </is>
      </c>
      <c r="I415" s="16" t="n">
        <v>1</v>
      </c>
      <c r="J415" s="17" t="n">
        <v>74.81</v>
      </c>
      <c r="K415" s="17" t="n">
        <v>84.76000000000001</v>
      </c>
      <c r="L415" s="17" t="n">
        <v>25.86</v>
      </c>
      <c r="M415" s="17" t="n">
        <v>0</v>
      </c>
      <c r="N415" s="17">
        <f>K415*0.08+L415*0.08</f>
        <v/>
      </c>
      <c r="O415" s="17">
        <f>-(K415*0.025+L415*0.025)</f>
        <v/>
      </c>
      <c r="P415" s="17">
        <f>32</f>
        <v/>
      </c>
      <c r="Q415" s="17">
        <f>J415+L415+N415+O415-P415-M415</f>
        <v/>
      </c>
    </row>
    <row r="416">
      <c r="A416" s="16" t="inlineStr">
        <is>
          <t>5.29-6.4</t>
        </is>
      </c>
      <c r="B416" s="16" t="inlineStr">
        <is>
          <t>PO-128-18647536691834021</t>
        </is>
      </c>
      <c r="C416" s="16" t="inlineStr">
        <is>
          <t>Shipped</t>
        </is>
      </c>
      <c r="D416" s="16" t="inlineStr">
        <is>
          <t>128-18647526206074021</t>
        </is>
      </c>
      <c r="E416" s="16" t="inlineStr">
        <is>
          <t>Shipped</t>
        </is>
      </c>
      <c r="F416" s="16" t="inlineStr">
        <is>
          <t>SA320T-R</t>
        </is>
      </c>
      <c r="G416" s="16" t="inlineStr">
        <is>
          <t>Altavoz inalámbrico portátil con Luces RGB, Radio FM y Manija - 5h Duración, TWS, TF Card, Compacto y Recargable via USB，Perfecto para viajes, fiestas y gaming</t>
        </is>
      </c>
      <c r="H416" s="16" t="inlineStr">
        <is>
          <t>rojo</t>
        </is>
      </c>
      <c r="I416" s="16" t="n">
        <v>3</v>
      </c>
      <c r="J416" s="17" t="n">
        <v>168</v>
      </c>
      <c r="K416" s="17" t="n">
        <v>184.76</v>
      </c>
      <c r="L416" s="17" t="n">
        <v>25.86</v>
      </c>
      <c r="M416" s="17" t="n">
        <v>0</v>
      </c>
      <c r="N416" s="17">
        <f>K416*0.08+L416*0.08</f>
        <v/>
      </c>
      <c r="O416" s="17">
        <f>-(K416*0.025+L416*0.025)</f>
        <v/>
      </c>
      <c r="P416" s="17">
        <f>32</f>
        <v/>
      </c>
      <c r="Q416" s="17">
        <f>J416+L416+N416+O416-P416-M416</f>
        <v/>
      </c>
    </row>
    <row r="417">
      <c r="A417" s="16" t="inlineStr">
        <is>
          <t>5.29-6.4</t>
        </is>
      </c>
      <c r="B417" s="16" t="inlineStr">
        <is>
          <t>PO-128-18785414106232303</t>
        </is>
      </c>
      <c r="C417" s="16" t="inlineStr">
        <is>
          <t>Shipped</t>
        </is>
      </c>
      <c r="D417" s="16" t="inlineStr">
        <is>
          <t>128-18785372163192303</t>
        </is>
      </c>
      <c r="E417" s="16" t="inlineStr">
        <is>
          <t>Shipped</t>
        </is>
      </c>
      <c r="F417" s="16" t="inlineStr">
        <is>
          <t>MB-185R</t>
        </is>
      </c>
      <c r="G417" s="16" t="inlineStr">
        <is>
          <t>Bocina Radio FM/Reproductor, Compatible con Tarjeta TF, USB, Bluetooth, Aplicable para celular, computadora, Ipad y consola</t>
        </is>
      </c>
      <c r="H417" s="16" t="inlineStr">
        <is>
          <t>ROJO/MB-185</t>
        </is>
      </c>
      <c r="I417" s="16" t="n">
        <v>1</v>
      </c>
      <c r="J417" s="17" t="n">
        <v>77.5</v>
      </c>
      <c r="K417" s="17" t="n">
        <v>90.44</v>
      </c>
      <c r="L417" s="17" t="n">
        <v>25.86</v>
      </c>
      <c r="M417" s="17" t="n">
        <v>0</v>
      </c>
      <c r="N417" s="17">
        <f>K417*0.08+L417*0.08</f>
        <v/>
      </c>
      <c r="O417" s="17">
        <f>-(K417*0.025+L417*0.025)</f>
        <v/>
      </c>
      <c r="P417" s="17">
        <f>32</f>
        <v/>
      </c>
      <c r="Q417" s="17">
        <f>J417+L417+N417+O417-P417-M417</f>
        <v/>
      </c>
    </row>
    <row r="418">
      <c r="A418" s="16" t="inlineStr">
        <is>
          <t>5.29-6.4</t>
        </is>
      </c>
      <c r="B418" s="16" t="inlineStr">
        <is>
          <t>PO-128-18889660170872641</t>
        </is>
      </c>
      <c r="C418" s="16" t="inlineStr">
        <is>
          <t>Shipped</t>
        </is>
      </c>
      <c r="D418" s="16" t="inlineStr">
        <is>
          <t>128-18889765028472641</t>
        </is>
      </c>
      <c r="E418" s="16" t="inlineStr">
        <is>
          <t>Shipped</t>
        </is>
      </c>
      <c r="F418" s="16" t="inlineStr">
        <is>
          <t>SA320T-A</t>
        </is>
      </c>
      <c r="G418" s="16" t="inlineStr">
        <is>
          <t>Altavoz inalámbrico portátil con Luces RGB, Radio FM y Manija - 5h Duración, TWS, TF Card, Compacto y Recargable via USB，Perfecto para viajes, fiestas y gaming</t>
        </is>
      </c>
      <c r="H418" s="16" t="inlineStr">
        <is>
          <t>azul</t>
        </is>
      </c>
      <c r="I418" s="16" t="n">
        <v>1</v>
      </c>
      <c r="J418" s="17" t="n">
        <v>51</v>
      </c>
      <c r="K418" s="17" t="n">
        <v>15.54</v>
      </c>
      <c r="L418" s="17" t="n">
        <v>25.86</v>
      </c>
      <c r="M418" s="17" t="n">
        <v>0</v>
      </c>
      <c r="N418" s="17">
        <f>K418*0.08+L418*0.08</f>
        <v/>
      </c>
      <c r="O418" s="17">
        <f>-(K418*0.025+L418*0.025)</f>
        <v/>
      </c>
      <c r="P418" s="17">
        <f>32</f>
        <v/>
      </c>
      <c r="Q418" s="17">
        <f>J418+L418+N418+O418-P418-M418</f>
        <v/>
      </c>
    </row>
    <row r="419">
      <c r="A419" s="16" t="inlineStr">
        <is>
          <t>5.29-6.4</t>
        </is>
      </c>
      <c r="B419" s="16" t="inlineStr">
        <is>
          <t>PO-128-18802909681272132</t>
        </is>
      </c>
      <c r="C419" s="16" t="inlineStr">
        <is>
          <t>Shipped</t>
        </is>
      </c>
      <c r="D419" s="16" t="inlineStr">
        <is>
          <t>128-18802962110072132</t>
        </is>
      </c>
      <c r="E419" s="16" t="inlineStr">
        <is>
          <t>Shipped</t>
        </is>
      </c>
      <c r="F419" s="16" t="inlineStr">
        <is>
          <t>MB-183N</t>
        </is>
      </c>
      <c r="G419" s="16" t="inlineStr">
        <is>
          <t>Linkbits Altavoz Bluetooth Portátil con Stereo Inalámbrico TWS Impermeable y a Prueba de Polvo IP65 Altavoz de Graves de Rango Completo de 52mm con Doble Unidad Ligero de 215g para Camping Senderismo y Fiestas al Aire Libre</t>
        </is>
      </c>
      <c r="H419" s="16" t="inlineStr">
        <is>
          <t>NEGRO/MB-183</t>
        </is>
      </c>
      <c r="I419" s="16" t="n">
        <v>1</v>
      </c>
      <c r="J419" s="17" t="n">
        <v>95</v>
      </c>
      <c r="K419" s="17" t="n">
        <v>112.38</v>
      </c>
      <c r="L419" s="17" t="n">
        <v>25.86</v>
      </c>
      <c r="M419" s="17" t="n">
        <v>0</v>
      </c>
      <c r="N419" s="17">
        <f>K419*0.08+L419*0.08</f>
        <v/>
      </c>
      <c r="O419" s="17">
        <f>-(K419*0.025+L419*0.025)</f>
        <v/>
      </c>
      <c r="P419" s="17">
        <f>32</f>
        <v/>
      </c>
      <c r="Q419" s="17">
        <f>J419+L419+N419+O419-P419-M419</f>
        <v/>
      </c>
    </row>
    <row r="420">
      <c r="A420" s="16" t="inlineStr">
        <is>
          <t>5.29-6.4</t>
        </is>
      </c>
      <c r="B420" s="16" t="inlineStr">
        <is>
          <t>PO-128-19107670927990380</t>
        </is>
      </c>
      <c r="C420" s="16" t="inlineStr">
        <is>
          <t>Shipped</t>
        </is>
      </c>
      <c r="D420" s="16" t="inlineStr">
        <is>
          <t>128-19107723356790380</t>
        </is>
      </c>
      <c r="E420" s="16" t="inlineStr">
        <is>
          <t>Shipped</t>
        </is>
      </c>
      <c r="F420" s="16" t="inlineStr">
        <is>
          <t>MB-185R</t>
        </is>
      </c>
      <c r="G420" s="16" t="inlineStr">
        <is>
          <t>Bocina Radio FM/Reproductor, Compatible con Tarjeta TF, USB, Bluetooth, Aplicable para celular, computadora, Ipad y consola</t>
        </is>
      </c>
      <c r="H420" s="16" t="inlineStr">
        <is>
          <t>ROJO/MB-185</t>
        </is>
      </c>
      <c r="I420" s="16" t="n">
        <v>1</v>
      </c>
      <c r="J420" s="17" t="n">
        <v>77.5</v>
      </c>
      <c r="K420" s="17" t="n">
        <v>90.44</v>
      </c>
      <c r="L420" s="17" t="n">
        <v>25.86</v>
      </c>
      <c r="M420" s="17" t="n">
        <v>0</v>
      </c>
      <c r="N420" s="17">
        <f>K420*0.08+L420*0.08</f>
        <v/>
      </c>
      <c r="O420" s="17">
        <f>-(K420*0.025+L420*0.025)</f>
        <v/>
      </c>
      <c r="P420" s="17">
        <f>32</f>
        <v/>
      </c>
      <c r="Q420" s="17">
        <f>J420+L420+N420+O420-P420-M420</f>
        <v/>
      </c>
    </row>
    <row r="421">
      <c r="A421" s="16" t="inlineStr">
        <is>
          <t>5.29-6.4</t>
        </is>
      </c>
      <c r="B421" s="16" t="inlineStr">
        <is>
          <t>PO-128-19238801075830622</t>
        </is>
      </c>
      <c r="C421" s="16" t="inlineStr">
        <is>
          <t>Shipped</t>
        </is>
      </c>
      <c r="D421" s="16" t="inlineStr">
        <is>
          <t>128-19238822047350622</t>
        </is>
      </c>
      <c r="E421" s="16" t="inlineStr">
        <is>
          <t>Shipped</t>
        </is>
      </c>
      <c r="F421" s="16" t="inlineStr">
        <is>
          <t>MB-185A</t>
        </is>
      </c>
      <c r="G421" s="16" t="inlineStr">
        <is>
          <t>Bocina Radio FM/Reproductor, Compatible con Tarjeta TF, USB, Bluetooth, Aplicable para celular, computadora, Ipad y consola</t>
        </is>
      </c>
      <c r="H421" s="16" t="inlineStr">
        <is>
          <t>AZUL/MB-185</t>
        </is>
      </c>
      <c r="I421" s="16" t="n">
        <v>1</v>
      </c>
      <c r="J421" s="17" t="n">
        <v>75</v>
      </c>
      <c r="K421" s="17" t="n">
        <v>87.94</v>
      </c>
      <c r="L421" s="17" t="n">
        <v>25.86</v>
      </c>
      <c r="M421" s="17" t="n">
        <v>0</v>
      </c>
      <c r="N421" s="17">
        <f>K421*0.08+L421*0.08</f>
        <v/>
      </c>
      <c r="O421" s="17">
        <f>-(K421*0.025+L421*0.025)</f>
        <v/>
      </c>
      <c r="P421" s="17">
        <f>32</f>
        <v/>
      </c>
      <c r="Q421" s="17">
        <f>J421+L421+N421+O421-P421-M421</f>
        <v/>
      </c>
    </row>
    <row r="422">
      <c r="A422" s="16" t="inlineStr">
        <is>
          <t>5.29-6.4</t>
        </is>
      </c>
      <c r="B422" s="16" t="inlineStr">
        <is>
          <t>PO-128-18597979054713226</t>
        </is>
      </c>
      <c r="C422" s="16" t="inlineStr">
        <is>
          <t>Shipped</t>
        </is>
      </c>
      <c r="D422" s="16" t="inlineStr">
        <is>
          <t>128-18598031483513226</t>
        </is>
      </c>
      <c r="E422" s="16" t="inlineStr">
        <is>
          <t>Shipped</t>
        </is>
      </c>
      <c r="F422" s="16" t="inlineStr">
        <is>
          <t>A500-N</t>
        </is>
      </c>
      <c r="G422" s="16" t="inlineStr">
        <is>
          <t>Bocina Bluetooth Portátil Barra de Sonido, Inalámbrica con FM Radio, TWS, USB/TF, Graves Potentes para Hogar y Exteriores</t>
        </is>
      </c>
      <c r="H422" s="16" t="inlineStr">
        <is>
          <t>NEGRO</t>
        </is>
      </c>
      <c r="I422" s="16" t="n">
        <v>1</v>
      </c>
      <c r="J422" s="17" t="n">
        <v>79.81999999999999</v>
      </c>
      <c r="K422" s="17" t="n">
        <v>90.40000000000001</v>
      </c>
      <c r="L422" s="17" t="n">
        <v>25.86</v>
      </c>
      <c r="M422" s="17" t="n">
        <v>0</v>
      </c>
      <c r="N422" s="17">
        <f>K422*0.08+L422*0.08</f>
        <v/>
      </c>
      <c r="O422" s="17">
        <f>-(K422*0.025+L422*0.025)</f>
        <v/>
      </c>
      <c r="P422" s="17">
        <f>32</f>
        <v/>
      </c>
      <c r="Q422" s="17">
        <f>J422+L422+N422+O422-P422-M422</f>
        <v/>
      </c>
    </row>
    <row r="423">
      <c r="A423" s="16" t="inlineStr">
        <is>
          <t>5.29-6.4</t>
        </is>
      </c>
      <c r="B423" s="16" t="inlineStr">
        <is>
          <t>PO-128-19078891295350425</t>
        </is>
      </c>
      <c r="C423" s="16" t="inlineStr">
        <is>
          <t>Shipped</t>
        </is>
      </c>
      <c r="D423" s="16" t="inlineStr">
        <is>
          <t>128-19079043338870425</t>
        </is>
      </c>
      <c r="E423" s="16" t="inlineStr">
        <is>
          <t>Shipped</t>
        </is>
      </c>
      <c r="F423" s="16" t="inlineStr">
        <is>
          <t>A500-N</t>
        </is>
      </c>
      <c r="G423" s="16" t="inlineStr">
        <is>
          <t>Bocina Bluetooth Portátil Barra de Sonido, Inalámbrica con FM Radio, TWS, USB/TF, Graves Potentes para Hogar y Exteriores</t>
        </is>
      </c>
      <c r="H423" s="16" t="inlineStr">
        <is>
          <t>NEGRO</t>
        </is>
      </c>
      <c r="I423" s="16" t="n">
        <v>1</v>
      </c>
      <c r="J423" s="17" t="n">
        <v>79.81999999999999</v>
      </c>
      <c r="K423" s="17" t="n">
        <v>61.49</v>
      </c>
      <c r="L423" s="17" t="n">
        <v>25.86</v>
      </c>
      <c r="M423" s="17" t="n">
        <v>0</v>
      </c>
      <c r="N423" s="17">
        <f>K423*0.08+L423*0.08</f>
        <v/>
      </c>
      <c r="O423" s="17">
        <f>-(K423*0.025+L423*0.025)</f>
        <v/>
      </c>
      <c r="P423" s="17">
        <f>32</f>
        <v/>
      </c>
      <c r="Q423" s="17">
        <f>J423+L423+N423+O423-P423-M423</f>
        <v/>
      </c>
    </row>
    <row r="424">
      <c r="A424" s="16" t="inlineStr">
        <is>
          <t>5.29-6.4</t>
        </is>
      </c>
      <c r="B424" s="16" t="inlineStr">
        <is>
          <t>PO-128-18622979349113079</t>
        </is>
      </c>
      <c r="C424" s="16" t="inlineStr">
        <is>
          <t>Shipped</t>
        </is>
      </c>
      <c r="D424" s="16" t="inlineStr">
        <is>
          <t>128-18623031777913079</t>
        </is>
      </c>
      <c r="E424" s="16" t="inlineStr">
        <is>
          <t>Shipped</t>
        </is>
      </c>
      <c r="F424" s="16" t="inlineStr">
        <is>
          <t>SA320T-A</t>
        </is>
      </c>
      <c r="G424" s="16" t="inlineStr">
        <is>
          <t>Altavoz inalámbrico portátil con Luces RGB, Radio FM y Manija - 5h Duración, TWS, TF Card, Compacto y Recargable via USB，Perfecto para viajes, fiestas y gaming</t>
        </is>
      </c>
      <c r="H424" s="16" t="inlineStr">
        <is>
          <t>azul</t>
        </is>
      </c>
      <c r="I424" s="16" t="n">
        <v>1</v>
      </c>
      <c r="J424" s="17" t="n">
        <v>51</v>
      </c>
      <c r="K424" s="17" t="n">
        <v>18.62</v>
      </c>
      <c r="L424" s="17" t="n">
        <v>25.86</v>
      </c>
      <c r="M424" s="17" t="n">
        <v>0</v>
      </c>
      <c r="N424" s="17">
        <f>K424*0.08+L424*0.08</f>
        <v/>
      </c>
      <c r="O424" s="17">
        <f>-(K424*0.025+L424*0.025)</f>
        <v/>
      </c>
      <c r="P424" s="17">
        <f>32</f>
        <v/>
      </c>
      <c r="Q424" s="17">
        <f>J424+L424+N424+O424-P424-M424</f>
        <v/>
      </c>
    </row>
    <row r="425">
      <c r="A425" s="16" t="inlineStr">
        <is>
          <t>5.29-6.4</t>
        </is>
      </c>
      <c r="B425" s="16" t="inlineStr">
        <is>
          <t>PO-128-18933387587191357</t>
        </is>
      </c>
      <c r="C425" s="16" t="inlineStr">
        <is>
          <t>Shipped</t>
        </is>
      </c>
      <c r="D425" s="16" t="inlineStr">
        <is>
          <t>128-18933382344311357</t>
        </is>
      </c>
      <c r="E425" s="16" t="inlineStr">
        <is>
          <t>Shipped</t>
        </is>
      </c>
      <c r="F425" s="16" t="inlineStr">
        <is>
          <t>SA320T-A</t>
        </is>
      </c>
      <c r="G425" s="16" t="inlineStr">
        <is>
          <t>Altavoz inalámbrico portátil con Luces RGB, Radio FM y Manija - 5h Duración, TWS, TF Card, Compacto y Recargable via USB，Perfecto para viajes, fiestas y gaming</t>
        </is>
      </c>
      <c r="H425" s="16" t="inlineStr">
        <is>
          <t>azul</t>
        </is>
      </c>
      <c r="I425" s="16" t="n">
        <v>1</v>
      </c>
      <c r="J425" s="17" t="n">
        <v>51</v>
      </c>
      <c r="K425" s="17" t="n">
        <v>61.72</v>
      </c>
      <c r="L425" s="17" t="n">
        <v>0</v>
      </c>
      <c r="M425" s="17" t="n">
        <v>0</v>
      </c>
      <c r="N425" s="17">
        <f>K425*0.08+L425*0.08</f>
        <v/>
      </c>
      <c r="O425" s="17">
        <f>-(K425*0.025+L425*0.025)</f>
        <v/>
      </c>
      <c r="P425" s="17">
        <f>32</f>
        <v/>
      </c>
      <c r="Q425" s="17">
        <f>J425+L425+N425+O425-P425-M425</f>
        <v/>
      </c>
    </row>
    <row r="426">
      <c r="A426" s="16" t="inlineStr">
        <is>
          <t>5.29-6.4</t>
        </is>
      </c>
      <c r="B426" s="16" t="inlineStr">
        <is>
          <t>PO-128-18933387587191357</t>
        </is>
      </c>
      <c r="C426" s="16" t="inlineStr">
        <is>
          <t>Shipped</t>
        </is>
      </c>
      <c r="D426" s="16" t="inlineStr">
        <is>
          <t>128-18933350887031357</t>
        </is>
      </c>
      <c r="E426" s="16" t="inlineStr">
        <is>
          <t>Shipped</t>
        </is>
      </c>
      <c r="F426" s="16" t="inlineStr">
        <is>
          <t>SA320T-N</t>
        </is>
      </c>
      <c r="G426" s="16" t="inlineStr">
        <is>
          <t>Altavoz inalámbrico portátil con Luces RGB, Radio FM y Manija - 5h Duración, TWS, TF Card, Compacto y Recargable via USB，Perfecto para viajes, fiestas y gaming</t>
        </is>
      </c>
      <c r="H426" s="16" t="inlineStr">
        <is>
          <t>negro</t>
        </is>
      </c>
      <c r="I426" s="16" t="n">
        <v>1</v>
      </c>
      <c r="J426" s="17" t="n">
        <v>60</v>
      </c>
      <c r="K426" s="17" t="n">
        <v>93.97</v>
      </c>
      <c r="L426" s="17" t="n">
        <v>0</v>
      </c>
      <c r="M426" s="17" t="n">
        <v>0</v>
      </c>
      <c r="N426" s="17">
        <f>K426*0.08+L426*0.08</f>
        <v/>
      </c>
      <c r="O426" s="17">
        <f>-(K426*0.025+L426*0.025)</f>
        <v/>
      </c>
      <c r="P426" s="17">
        <f>32</f>
        <v/>
      </c>
      <c r="Q426" s="17">
        <f>J426+L426+N426+O426-P426-M426</f>
        <v/>
      </c>
    </row>
    <row r="427">
      <c r="A427" s="16" t="inlineStr">
        <is>
          <t>5.29-6.4</t>
        </is>
      </c>
      <c r="B427" s="16" t="inlineStr">
        <is>
          <t>PO-128-18933387587191357</t>
        </is>
      </c>
      <c r="C427" s="16" t="inlineStr">
        <is>
          <t>Shipped</t>
        </is>
      </c>
      <c r="D427" s="16" t="inlineStr">
        <is>
          <t>128-18933371858551357</t>
        </is>
      </c>
      <c r="E427" s="16" t="inlineStr">
        <is>
          <t>Shipped</t>
        </is>
      </c>
      <c r="F427" s="16" t="inlineStr">
        <is>
          <t>SA320T-P</t>
        </is>
      </c>
      <c r="G427" s="16" t="inlineStr">
        <is>
          <t>Altavoz inalámbrico portátil con Luces RGB, Radio FM y Manija - 5h Duración, TWS, TF Card, Compacto y Recargable via USB，Perfecto para viajes, fiestas y gaming</t>
        </is>
      </c>
      <c r="H427" s="16" t="inlineStr">
        <is>
          <t>rosa</t>
        </is>
      </c>
      <c r="I427" s="16" t="n">
        <v>1</v>
      </c>
      <c r="J427" s="17" t="n">
        <v>60</v>
      </c>
      <c r="K427" s="17" t="n">
        <v>70.72</v>
      </c>
      <c r="L427" s="17" t="n">
        <v>0</v>
      </c>
      <c r="M427" s="17" t="n">
        <v>0</v>
      </c>
      <c r="N427" s="17">
        <f>K427*0.08+L427*0.08</f>
        <v/>
      </c>
      <c r="O427" s="17">
        <f>-(K427*0.025+L427*0.025)</f>
        <v/>
      </c>
      <c r="P427" s="17">
        <f>32</f>
        <v/>
      </c>
      <c r="Q427" s="17">
        <f>J427+L427+N427+O427-P427-M427</f>
        <v/>
      </c>
    </row>
    <row r="428">
      <c r="A428" s="16" t="inlineStr">
        <is>
          <t>5.29-6.4</t>
        </is>
      </c>
      <c r="B428" s="16" t="inlineStr">
        <is>
          <t>PO-128-18933387587191357</t>
        </is>
      </c>
      <c r="C428" s="16" t="inlineStr">
        <is>
          <t>Shipped</t>
        </is>
      </c>
      <c r="D428" s="16" t="inlineStr">
        <is>
          <t>128-18933392830071357</t>
        </is>
      </c>
      <c r="E428" s="16" t="inlineStr">
        <is>
          <t>Shipped</t>
        </is>
      </c>
      <c r="F428" s="16" t="inlineStr">
        <is>
          <t>SA315TY</t>
        </is>
      </c>
      <c r="G428" s="16" t="inlineStr">
        <is>
          <t>Altavoz inalámbrico portátil con Luces RGB, Radio FM y Manija - 5h Duración, TWS, TF Card, Compacto y Recargable via USB，Perfecto para viajes, fiestas y gaming</t>
        </is>
      </c>
      <c r="H428" s="16" t="inlineStr">
        <is>
          <t>AMARILLO-LK</t>
        </is>
      </c>
      <c r="I428" s="16" t="n">
        <v>1</v>
      </c>
      <c r="J428" s="17" t="n">
        <v>40</v>
      </c>
      <c r="K428" s="17" t="n">
        <v>66.61</v>
      </c>
      <c r="L428" s="17" t="n">
        <v>0</v>
      </c>
      <c r="M428" s="17" t="n">
        <v>0</v>
      </c>
      <c r="N428" s="17">
        <f>K428*0.08+L428*0.08</f>
        <v/>
      </c>
      <c r="O428" s="17">
        <f>-(K428*0.025+L428*0.025)</f>
        <v/>
      </c>
      <c r="P428" s="17">
        <f>32</f>
        <v/>
      </c>
      <c r="Q428" s="17">
        <f>J428+L428+N428+O428-P428-M428</f>
        <v/>
      </c>
    </row>
    <row r="429">
      <c r="A429" s="16" t="inlineStr">
        <is>
          <t>5.29-6.4</t>
        </is>
      </c>
      <c r="B429" s="16" t="inlineStr">
        <is>
          <t>PO-128-18933387587191357</t>
        </is>
      </c>
      <c r="C429" s="16" t="inlineStr">
        <is>
          <t>Shipped</t>
        </is>
      </c>
      <c r="D429" s="16" t="inlineStr">
        <is>
          <t>128-18933361372791357</t>
        </is>
      </c>
      <c r="E429" s="16" t="inlineStr">
        <is>
          <t>Shipped</t>
        </is>
      </c>
      <c r="F429" s="16" t="inlineStr">
        <is>
          <t>SA320T-V</t>
        </is>
      </c>
      <c r="G429" s="16" t="inlineStr">
        <is>
          <t>Altavoz inalámbrico portátil con Luces RGB, Radio FM y Manija - 5h Duración, TWS, TF Card, Compacto y Recargable via USB，Perfecto para viajes, fiestas y gaming</t>
        </is>
      </c>
      <c r="H429" s="16" t="inlineStr">
        <is>
          <t>verde</t>
        </is>
      </c>
      <c r="I429" s="16" t="n">
        <v>1</v>
      </c>
      <c r="J429" s="17" t="n">
        <v>53</v>
      </c>
      <c r="K429" s="17" t="n">
        <v>86.97</v>
      </c>
      <c r="L429" s="17" t="n">
        <v>0</v>
      </c>
      <c r="M429" s="17" t="n">
        <v>0</v>
      </c>
      <c r="N429" s="17">
        <f>K429*0.08+L429*0.08</f>
        <v/>
      </c>
      <c r="O429" s="17">
        <f>-(K429*0.025+L429*0.025)</f>
        <v/>
      </c>
      <c r="P429" s="17">
        <f>32</f>
        <v/>
      </c>
      <c r="Q429" s="17">
        <f>J429+L429+N429+O429-P429-M429</f>
        <v/>
      </c>
    </row>
    <row r="430">
      <c r="A430" s="16" t="inlineStr">
        <is>
          <t>5.29-6.4</t>
        </is>
      </c>
      <c r="B430" s="16" t="inlineStr">
        <is>
          <t>PO-128-18933387587191357</t>
        </is>
      </c>
      <c r="C430" s="16" t="inlineStr">
        <is>
          <t>Shipped</t>
        </is>
      </c>
      <c r="D430" s="16" t="inlineStr">
        <is>
          <t>128-18933345644151357</t>
        </is>
      </c>
      <c r="E430" s="16" t="inlineStr">
        <is>
          <t>Shipped</t>
        </is>
      </c>
      <c r="F430" s="16" t="inlineStr">
        <is>
          <t>SA320T-R</t>
        </is>
      </c>
      <c r="G430" s="16" t="inlineStr">
        <is>
          <t>Altavoz inalámbrico portátil con Luces RGB, Radio FM y Manija - 5h Duración, TWS, TF Card, Compacto y Recargable via USB，Perfecto para viajes, fiestas y gaming</t>
        </is>
      </c>
      <c r="H430" s="16" t="inlineStr">
        <is>
          <t>rojo</t>
        </is>
      </c>
      <c r="I430" s="16" t="n">
        <v>1</v>
      </c>
      <c r="J430" s="17" t="n">
        <v>56</v>
      </c>
      <c r="K430" s="17" t="n">
        <v>66.72</v>
      </c>
      <c r="L430" s="17" t="n">
        <v>0</v>
      </c>
      <c r="M430" s="17" t="n">
        <v>0</v>
      </c>
      <c r="N430" s="17">
        <f>K430*0.08+L430*0.08</f>
        <v/>
      </c>
      <c r="O430" s="17">
        <f>-(K430*0.025+L430*0.025)</f>
        <v/>
      </c>
      <c r="P430" s="17">
        <f>32</f>
        <v/>
      </c>
      <c r="Q430" s="17">
        <f>J430+L430+N430+O430-P430-M430</f>
        <v/>
      </c>
    </row>
    <row r="431">
      <c r="A431" s="16" t="inlineStr">
        <is>
          <t>5.29-6.4</t>
        </is>
      </c>
      <c r="B431" s="16" t="inlineStr">
        <is>
          <t>PO-128-19213533686390711</t>
        </is>
      </c>
      <c r="C431" s="16" t="inlineStr">
        <is>
          <t>Shipped</t>
        </is>
      </c>
      <c r="D431" s="16" t="inlineStr">
        <is>
          <t>128-19213586115190711</t>
        </is>
      </c>
      <c r="E431" s="16" t="inlineStr">
        <is>
          <t>Shipped</t>
        </is>
      </c>
      <c r="F431" s="16" t="inlineStr">
        <is>
          <t>F025</t>
        </is>
      </c>
      <c r="G431" s="16" t="inlineStr">
        <is>
          <t>Sopladora Turbo Inalámbrica 130000 RPM - Aire Comprimido Eléctrico con Batería 8400mAh, Carga Rápida 2.5H, Ajuste Infinito de Velocidad, Kit Limpieza Multiuso para PC, Coche, Hogar y Exteriores</t>
        </is>
      </c>
      <c r="H431" s="16" t="inlineStr">
        <is>
          <t>Unidad Individual/1Pieza</t>
        </is>
      </c>
      <c r="I431" s="16" t="n">
        <v>1</v>
      </c>
      <c r="J431" s="17" t="n">
        <v>152</v>
      </c>
      <c r="K431" s="17" t="n">
        <v>174.9</v>
      </c>
      <c r="L431" s="17" t="n">
        <v>25.86</v>
      </c>
      <c r="M431" s="17" t="n">
        <v>0</v>
      </c>
      <c r="N431" s="17">
        <f>K431*0.08+L431*0.08</f>
        <v/>
      </c>
      <c r="O431" s="17">
        <f>-(K431*0.025+L431*0.025)</f>
        <v/>
      </c>
      <c r="P431" s="17">
        <f>32</f>
        <v/>
      </c>
      <c r="Q431" s="17">
        <f>J431+L431+N431+O431-P431-M431</f>
        <v/>
      </c>
    </row>
    <row r="432">
      <c r="A432" s="16" t="inlineStr">
        <is>
          <t>5.29-6.4</t>
        </is>
      </c>
      <c r="B432" s="16" t="inlineStr">
        <is>
          <t>PO-128-18815527281272955</t>
        </is>
      </c>
      <c r="C432" s="16" t="inlineStr">
        <is>
          <t>Shipped</t>
        </is>
      </c>
      <c r="D432" s="16" t="inlineStr">
        <is>
          <t>128-18815490581112955</t>
        </is>
      </c>
      <c r="E432" s="16" t="inlineStr">
        <is>
          <t>Shipped</t>
        </is>
      </c>
      <c r="F432" s="16" t="inlineStr">
        <is>
          <t>SA320T-A</t>
        </is>
      </c>
      <c r="G432" s="16" t="inlineStr">
        <is>
          <t>Altavoz inalámbrico portátil con Luces RGB, Radio FM y Manija - 5h Duración, TWS, TF Card, Compacto y Recargable via USB，Perfecto para viajes, fiestas y gaming</t>
        </is>
      </c>
      <c r="H432" s="16" t="inlineStr">
        <is>
          <t>azul</t>
        </is>
      </c>
      <c r="I432" s="16" t="n">
        <v>1</v>
      </c>
      <c r="J432" s="17" t="n">
        <v>51</v>
      </c>
      <c r="K432" s="17" t="n">
        <v>58.44</v>
      </c>
      <c r="L432" s="17" t="n">
        <v>0</v>
      </c>
      <c r="M432" s="17" t="n">
        <v>0</v>
      </c>
      <c r="N432" s="17">
        <f>K432*0.08+L432*0.08</f>
        <v/>
      </c>
      <c r="O432" s="17">
        <f>-(K432*0.025+L432*0.025)</f>
        <v/>
      </c>
      <c r="P432" s="17">
        <f>32</f>
        <v/>
      </c>
      <c r="Q432" s="17">
        <f>J432+L432+N432+O432-P432-M432</f>
        <v/>
      </c>
    </row>
    <row r="433">
      <c r="A433" s="16" t="inlineStr">
        <is>
          <t>5.29-6.4</t>
        </is>
      </c>
      <c r="B433" s="16" t="inlineStr">
        <is>
          <t>PO-128-18815527281272955</t>
        </is>
      </c>
      <c r="C433" s="16" t="inlineStr">
        <is>
          <t>Shipped</t>
        </is>
      </c>
      <c r="D433" s="16" t="inlineStr">
        <is>
          <t>128-18815511552632955</t>
        </is>
      </c>
      <c r="E433" s="16" t="inlineStr">
        <is>
          <t>Shipped</t>
        </is>
      </c>
      <c r="F433" s="16" t="inlineStr">
        <is>
          <t>SA320T-Y</t>
        </is>
      </c>
      <c r="G433" s="16" t="inlineStr">
        <is>
          <t>Altavoz inalámbrico portátil con Luces RGB, Radio FM y Manija - 5h Duración, TWS, TF Card, Compacto y Recargable via USB，Perfecto para viajes, fiestas y gaming</t>
        </is>
      </c>
      <c r="H433" s="16" t="inlineStr">
        <is>
          <t>amarillo</t>
        </is>
      </c>
      <c r="I433" s="16" t="n">
        <v>1</v>
      </c>
      <c r="J433" s="17" t="n">
        <v>54</v>
      </c>
      <c r="K433" s="17" t="n">
        <v>60.75</v>
      </c>
      <c r="L433" s="17" t="n">
        <v>0</v>
      </c>
      <c r="M433" s="17" t="n">
        <v>0</v>
      </c>
      <c r="N433" s="17">
        <f>K433*0.08+L433*0.08</f>
        <v/>
      </c>
      <c r="O433" s="17">
        <f>-(K433*0.025+L433*0.025)</f>
        <v/>
      </c>
      <c r="P433" s="17">
        <f>32</f>
        <v/>
      </c>
      <c r="Q433" s="17">
        <f>J433+L433+N433+O433-P433-M433</f>
        <v/>
      </c>
    </row>
    <row r="434">
      <c r="A434" s="16" t="inlineStr">
        <is>
          <t>5.29-6.4</t>
        </is>
      </c>
      <c r="B434" s="16" t="inlineStr">
        <is>
          <t>PO-128-18815527281272955</t>
        </is>
      </c>
      <c r="C434" s="16" t="inlineStr">
        <is>
          <t>Shipped</t>
        </is>
      </c>
      <c r="D434" s="16" t="inlineStr">
        <is>
          <t>128-18815501066872955</t>
        </is>
      </c>
      <c r="E434" s="16" t="inlineStr">
        <is>
          <t>Shipped</t>
        </is>
      </c>
      <c r="F434" s="16" t="inlineStr">
        <is>
          <t>SA315TA</t>
        </is>
      </c>
      <c r="G434" s="16" t="inlineStr">
        <is>
          <t>Altavoz inalámbrico portátil con Luces RGB, Radio FM y Manija - 5h Duración, TWS, TF Card, Compacto y Recargable via USB，Perfecto para viajes, fiestas y gaming</t>
        </is>
      </c>
      <c r="H434" s="16" t="inlineStr">
        <is>
          <t>AZUL-LK</t>
        </is>
      </c>
      <c r="I434" s="16" t="n">
        <v>1</v>
      </c>
      <c r="J434" s="17" t="n">
        <v>40</v>
      </c>
      <c r="K434" s="17" t="n">
        <v>63.08</v>
      </c>
      <c r="L434" s="17" t="n">
        <v>0</v>
      </c>
      <c r="M434" s="17" t="n">
        <v>0</v>
      </c>
      <c r="N434" s="17">
        <f>K434*0.08+L434*0.08</f>
        <v/>
      </c>
      <c r="O434" s="17">
        <f>-(K434*0.025+L434*0.025)</f>
        <v/>
      </c>
      <c r="P434" s="17">
        <f>32</f>
        <v/>
      </c>
      <c r="Q434" s="17">
        <f>J434+L434+N434+O434-P434-M434</f>
        <v/>
      </c>
    </row>
    <row r="435">
      <c r="A435" s="16" t="inlineStr">
        <is>
          <t>5.29-6.4</t>
        </is>
      </c>
      <c r="B435" s="16" t="inlineStr">
        <is>
          <t>PO-128-18815527281272955</t>
        </is>
      </c>
      <c r="C435" s="16" t="inlineStr">
        <is>
          <t>Shipped</t>
        </is>
      </c>
      <c r="D435" s="16" t="inlineStr">
        <is>
          <t>128-18815485338232955</t>
        </is>
      </c>
      <c r="E435" s="16" t="inlineStr">
        <is>
          <t>Shipped</t>
        </is>
      </c>
      <c r="F435" s="16" t="inlineStr">
        <is>
          <t>SA320T-R</t>
        </is>
      </c>
      <c r="G435" s="16" t="inlineStr">
        <is>
          <t>Altavoz inalámbrico portátil con Luces RGB, Radio FM y Manija - 5h Duración, TWS, TF Card, Compacto y Recargable via USB，Perfecto para viajes, fiestas y gaming</t>
        </is>
      </c>
      <c r="H435" s="16" t="inlineStr">
        <is>
          <t>rojo</t>
        </is>
      </c>
      <c r="I435" s="16" t="n">
        <v>1</v>
      </c>
      <c r="J435" s="17" t="n">
        <v>56</v>
      </c>
      <c r="K435" s="17" t="n">
        <v>63.18</v>
      </c>
      <c r="L435" s="17" t="n">
        <v>0</v>
      </c>
      <c r="M435" s="17" t="n">
        <v>0</v>
      </c>
      <c r="N435" s="17">
        <f>K435*0.08+L435*0.08</f>
        <v/>
      </c>
      <c r="O435" s="17">
        <f>-(K435*0.025+L435*0.025)</f>
        <v/>
      </c>
      <c r="P435" s="17">
        <f>32</f>
        <v/>
      </c>
      <c r="Q435" s="17">
        <f>J435+L435+N435+O435-P435-M435</f>
        <v/>
      </c>
    </row>
    <row r="436">
      <c r="A436" s="16" t="inlineStr">
        <is>
          <t>5.29-6.4</t>
        </is>
      </c>
      <c r="B436" s="16" t="inlineStr">
        <is>
          <t>PO-128-18878156063352580</t>
        </is>
      </c>
      <c r="C436" s="16" t="inlineStr">
        <is>
          <t>Shipped</t>
        </is>
      </c>
      <c r="D436" s="16" t="inlineStr">
        <is>
          <t>128-18878208492152580</t>
        </is>
      </c>
      <c r="E436" s="16" t="inlineStr">
        <is>
          <t>Shipped</t>
        </is>
      </c>
      <c r="F436" s="16" t="inlineStr">
        <is>
          <t>SA315TA</t>
        </is>
      </c>
      <c r="G436" s="16" t="inlineStr">
        <is>
          <t>Altavoz inalámbrico portátil con Luces RGB, Radio FM y Manija - 5h Duración, TWS, TF Card, Compacto y Recargable via USB，Perfecto para viajes, fiestas y gaming</t>
        </is>
      </c>
      <c r="H436" s="16" t="inlineStr">
        <is>
          <t>AZUL-LK</t>
        </is>
      </c>
      <c r="I436" s="16" t="n">
        <v>1</v>
      </c>
      <c r="J436" s="17" t="n">
        <v>40</v>
      </c>
      <c r="K436" s="17" t="n">
        <v>23.51</v>
      </c>
      <c r="L436" s="17" t="n">
        <v>25.86</v>
      </c>
      <c r="M436" s="17" t="n">
        <v>0</v>
      </c>
      <c r="N436" s="17">
        <f>K436*0.08+L436*0.08</f>
        <v/>
      </c>
      <c r="O436" s="17">
        <f>-(K436*0.025+L436*0.025)</f>
        <v/>
      </c>
      <c r="P436" s="17">
        <f>32</f>
        <v/>
      </c>
      <c r="Q436" s="17">
        <f>J436+L436+N436+O436-P436-M436</f>
        <v/>
      </c>
    </row>
    <row r="437">
      <c r="A437" s="16" t="inlineStr">
        <is>
          <t>5.29-6.4</t>
        </is>
      </c>
      <c r="B437" s="16" t="inlineStr">
        <is>
          <t>PO-128-19148679393910073</t>
        </is>
      </c>
      <c r="C437" s="16" t="inlineStr">
        <is>
          <t>Shipped</t>
        </is>
      </c>
      <c r="D437" s="16" t="inlineStr">
        <is>
          <t>128-19148839301750073</t>
        </is>
      </c>
      <c r="E437" s="16" t="inlineStr">
        <is>
          <t>Shipped</t>
        </is>
      </c>
      <c r="F437" s="16" t="inlineStr">
        <is>
          <t>A500-A</t>
        </is>
      </c>
      <c r="G437" s="16" t="inlineStr">
        <is>
          <t>Bocina Bluetooth Portátil Barra de Sonido, Inalámbrica con FM Radio, TWS, USB/TF, Graves Potentes para Hogar y Exteriores</t>
        </is>
      </c>
      <c r="H437" s="16" t="inlineStr">
        <is>
          <t>AZUL</t>
        </is>
      </c>
      <c r="I437" s="16" t="n">
        <v>1</v>
      </c>
      <c r="J437" s="17" t="n">
        <v>74.81</v>
      </c>
      <c r="K437" s="17" t="n">
        <v>41.66</v>
      </c>
      <c r="L437" s="17" t="n">
        <v>25.86</v>
      </c>
      <c r="M437" s="17" t="n">
        <v>0</v>
      </c>
      <c r="N437" s="17">
        <f>K437*0.08+L437*0.08</f>
        <v/>
      </c>
      <c r="O437" s="17">
        <f>-(K437*0.025+L437*0.025)</f>
        <v/>
      </c>
      <c r="P437" s="17">
        <f>32</f>
        <v/>
      </c>
      <c r="Q437" s="17">
        <f>J437+L437+N437+O437-P437-M437</f>
        <v/>
      </c>
    </row>
    <row r="438">
      <c r="A438" s="16" t="inlineStr">
        <is>
          <t>5.29-6.4</t>
        </is>
      </c>
      <c r="B438" s="16" t="inlineStr">
        <is>
          <t>PO-128-19123445934710222</t>
        </is>
      </c>
      <c r="C438" s="16" t="inlineStr">
        <is>
          <t>Shipped</t>
        </is>
      </c>
      <c r="D438" s="16" t="inlineStr">
        <is>
          <t>128-19123498363510222</t>
        </is>
      </c>
      <c r="E438" s="16" t="inlineStr">
        <is>
          <t>Shipped</t>
        </is>
      </c>
      <c r="F438" s="16" t="inlineStr">
        <is>
          <t>F025</t>
        </is>
      </c>
      <c r="G438" s="16" t="inlineStr">
        <is>
          <t>Sopladora Turbo Inalámbrica 130000 RPM - Aire Comprimido Eléctrico con Batería 8400mAh, Carga Rápida 2.5H, Ajuste Infinito de Velocidad, Kit Limpieza Multiuso para PC, Coche, Hogar y Exteriores</t>
        </is>
      </c>
      <c r="H438" s="16" t="inlineStr">
        <is>
          <t>Unidad Individual/1Pieza</t>
        </is>
      </c>
      <c r="I438" s="16" t="n">
        <v>1</v>
      </c>
      <c r="J438" s="17" t="n">
        <v>152</v>
      </c>
      <c r="K438" s="17" t="n">
        <v>174.9</v>
      </c>
      <c r="L438" s="17" t="n">
        <v>25.86</v>
      </c>
      <c r="M438" s="17" t="n">
        <v>0</v>
      </c>
      <c r="N438" s="17">
        <f>K438*0.08+L438*0.08</f>
        <v/>
      </c>
      <c r="O438" s="17">
        <f>-(K438*0.025+L438*0.025)</f>
        <v/>
      </c>
      <c r="P438" s="17">
        <f>32</f>
        <v/>
      </c>
      <c r="Q438" s="17">
        <f>J438+L438+N438+O438-P438-M438</f>
        <v/>
      </c>
    </row>
    <row r="439">
      <c r="A439" s="16" t="inlineStr">
        <is>
          <t>5.29-6.4</t>
        </is>
      </c>
      <c r="B439" s="16" t="inlineStr">
        <is>
          <t>PO-128-18739080264312515</t>
        </is>
      </c>
      <c r="C439" s="16" t="inlineStr">
        <is>
          <t>Shipped</t>
        </is>
      </c>
      <c r="D439" s="16" t="inlineStr">
        <is>
          <t>128-18739048807032515</t>
        </is>
      </c>
      <c r="E439" s="16" t="inlineStr">
        <is>
          <t>Shipped</t>
        </is>
      </c>
      <c r="F439" s="16" t="inlineStr">
        <is>
          <t>SA320T-P</t>
        </is>
      </c>
      <c r="G439" s="16" t="inlineStr">
        <is>
          <t>Altavoz inalámbrico portátil con Luces RGB, Radio FM y Manija - 5h Duración, TWS, TF Card, Compacto y Recargable via USB，Perfecto para viajes, fiestas y gaming</t>
        </is>
      </c>
      <c r="H439" s="16" t="inlineStr">
        <is>
          <t>rosa</t>
        </is>
      </c>
      <c r="I439" s="16" t="n">
        <v>7</v>
      </c>
      <c r="J439" s="17" t="n">
        <v>420</v>
      </c>
      <c r="K439" s="17" t="n">
        <v>495.04</v>
      </c>
      <c r="L439" s="17" t="n">
        <v>0</v>
      </c>
      <c r="M439" s="17" t="n">
        <v>0</v>
      </c>
      <c r="N439" s="17">
        <f>K439*0.08+L439*0.08</f>
        <v/>
      </c>
      <c r="O439" s="17">
        <f>-(K439*0.025+L439*0.025)</f>
        <v/>
      </c>
      <c r="P439" s="17">
        <f>32</f>
        <v/>
      </c>
      <c r="Q439" s="17">
        <f>J439+L439+N439+O439-P439-M439</f>
        <v/>
      </c>
    </row>
    <row r="440">
      <c r="A440" s="16" t="inlineStr">
        <is>
          <t>5.29-6.4</t>
        </is>
      </c>
      <c r="B440" s="16" t="inlineStr">
        <is>
          <t>PO-128-18739080264312515</t>
        </is>
      </c>
      <c r="C440" s="16" t="inlineStr">
        <is>
          <t>Shipped</t>
        </is>
      </c>
      <c r="D440" s="16" t="inlineStr">
        <is>
          <t>128-18739132693112515</t>
        </is>
      </c>
      <c r="E440" s="16" t="inlineStr">
        <is>
          <t>Shipped</t>
        </is>
      </c>
      <c r="F440" s="16" t="inlineStr">
        <is>
          <t>SA320T-A</t>
        </is>
      </c>
      <c r="G440" s="16" t="inlineStr">
        <is>
          <t>Altavoz inalámbrico portátil con Luces RGB, Radio FM y Manija - 5h Duración, TWS, TF Card, Compacto y Recargable via USB，Perfecto para viajes, fiestas y gaming</t>
        </is>
      </c>
      <c r="H440" s="16" t="inlineStr">
        <is>
          <t>azul</t>
        </is>
      </c>
      <c r="I440" s="16" t="n">
        <v>8</v>
      </c>
      <c r="J440" s="17" t="n">
        <v>408</v>
      </c>
      <c r="K440" s="17" t="n">
        <v>493.76</v>
      </c>
      <c r="L440" s="17" t="n">
        <v>0</v>
      </c>
      <c r="M440" s="17" t="n">
        <v>0</v>
      </c>
      <c r="N440" s="17">
        <f>K440*0.08+L440*0.08</f>
        <v/>
      </c>
      <c r="O440" s="17">
        <f>-(K440*0.025+L440*0.025)</f>
        <v/>
      </c>
      <c r="P440" s="17">
        <f>32</f>
        <v/>
      </c>
      <c r="Q440" s="17">
        <f>J440+L440+N440+O440-P440-M440</f>
        <v/>
      </c>
    </row>
    <row r="441">
      <c r="A441" s="16" t="inlineStr">
        <is>
          <t>5.29-6.4</t>
        </is>
      </c>
      <c r="B441" s="16" t="inlineStr">
        <is>
          <t>PO-128-18627583017593115</t>
        </is>
      </c>
      <c r="C441" s="16" t="inlineStr">
        <is>
          <t>Shipped</t>
        </is>
      </c>
      <c r="D441" s="16" t="inlineStr">
        <is>
          <t>128-18627735061113115</t>
        </is>
      </c>
      <c r="E441" s="16" t="inlineStr">
        <is>
          <t>Shipped</t>
        </is>
      </c>
      <c r="F441" s="16" t="inlineStr">
        <is>
          <t>A500-N</t>
        </is>
      </c>
      <c r="G441" s="16" t="inlineStr">
        <is>
          <t>Bocina Bluetooth Portátil Barra de Sonido, Inalámbrica con FM Radio, TWS, USB/TF, Graves Potentes para Hogar y Exteriores</t>
        </is>
      </c>
      <c r="H441" s="16" t="inlineStr">
        <is>
          <t>NEGRO</t>
        </is>
      </c>
      <c r="I441" s="16" t="n">
        <v>1</v>
      </c>
      <c r="J441" s="17" t="n">
        <v>79.81999999999999</v>
      </c>
      <c r="K441" s="17" t="n">
        <v>90.40000000000001</v>
      </c>
      <c r="L441" s="17" t="n">
        <v>25.86</v>
      </c>
      <c r="M441" s="17" t="n">
        <v>0</v>
      </c>
      <c r="N441" s="17">
        <f>K441*0.08+L441*0.08</f>
        <v/>
      </c>
      <c r="O441" s="17">
        <f>-(K441*0.025+L441*0.025)</f>
        <v/>
      </c>
      <c r="P441" s="17">
        <f>32</f>
        <v/>
      </c>
      <c r="Q441" s="17">
        <f>J441+L441+N441+O441-P441-M441</f>
        <v/>
      </c>
    </row>
    <row r="442">
      <c r="A442" s="16" t="inlineStr">
        <is>
          <t>5.29-6.4</t>
        </is>
      </c>
      <c r="B442" s="16" t="inlineStr">
        <is>
          <t>PO-128-18764127908472428</t>
        </is>
      </c>
      <c r="C442" s="16" t="inlineStr">
        <is>
          <t>Shipped</t>
        </is>
      </c>
      <c r="D442" s="16" t="inlineStr">
        <is>
          <t>128-18764106936952428</t>
        </is>
      </c>
      <c r="E442" s="16" t="inlineStr">
        <is>
          <t>Shipped</t>
        </is>
      </c>
      <c r="F442" s="16" t="inlineStr">
        <is>
          <t>A500-A</t>
        </is>
      </c>
      <c r="G442" s="16" t="inlineStr">
        <is>
          <t>Bocina Bluetooth Portátil Barra de Sonido, Inalámbrica con FM Radio, TWS, USB/TF, Graves Potentes para Hogar y Exteriores</t>
        </is>
      </c>
      <c r="H442" s="16" t="inlineStr">
        <is>
          <t>AZUL</t>
        </is>
      </c>
      <c r="I442" s="16" t="n">
        <v>1</v>
      </c>
      <c r="J442" s="17" t="n">
        <v>74.81</v>
      </c>
      <c r="K442" s="17" t="n">
        <v>84.76000000000001</v>
      </c>
      <c r="L442" s="17" t="n">
        <v>25.86</v>
      </c>
      <c r="M442" s="17" t="n">
        <v>0</v>
      </c>
      <c r="N442" s="17">
        <f>K442*0.08+L442*0.08</f>
        <v/>
      </c>
      <c r="O442" s="17">
        <f>-(K442*0.025+L442*0.025)</f>
        <v/>
      </c>
      <c r="P442" s="17">
        <f>32</f>
        <v/>
      </c>
      <c r="Q442" s="17">
        <f>J442+L442+N442+O442-P442-M442</f>
        <v/>
      </c>
    </row>
    <row r="443">
      <c r="A443" s="16" t="inlineStr">
        <is>
          <t>5.29-6.4</t>
        </is>
      </c>
      <c r="B443" s="16" t="inlineStr">
        <is>
          <t>PO-128-18987877325431926</t>
        </is>
      </c>
      <c r="C443" s="16" t="inlineStr">
        <is>
          <t>Shipped</t>
        </is>
      </c>
      <c r="D443" s="16" t="inlineStr">
        <is>
          <t>128-18987929754231926</t>
        </is>
      </c>
      <c r="E443" s="16" t="inlineStr">
        <is>
          <t>Shipped</t>
        </is>
      </c>
      <c r="F443" s="16" t="inlineStr">
        <is>
          <t>A500-A</t>
        </is>
      </c>
      <c r="G443" s="16" t="inlineStr">
        <is>
          <t>Bocina Bluetooth Portátil Barra de Sonido, Inalámbrica con FM Radio, TWS, USB/TF, Graves Potentes para Hogar y Exteriores</t>
        </is>
      </c>
      <c r="H443" s="16" t="inlineStr">
        <is>
          <t>AZUL</t>
        </is>
      </c>
      <c r="I443" s="16" t="n">
        <v>1</v>
      </c>
      <c r="J443" s="17" t="n">
        <v>74.81</v>
      </c>
      <c r="K443" s="17" t="n">
        <v>84.76000000000001</v>
      </c>
      <c r="L443" s="17" t="n">
        <v>25.86</v>
      </c>
      <c r="M443" s="17" t="n">
        <v>0</v>
      </c>
      <c r="N443" s="17">
        <f>K443*0.08+L443*0.08</f>
        <v/>
      </c>
      <c r="O443" s="17">
        <f>-(K443*0.025+L443*0.025)</f>
        <v/>
      </c>
      <c r="P443" s="17">
        <f>32</f>
        <v/>
      </c>
      <c r="Q443" s="17">
        <f>J443+L443+N443+O443-P443-M443</f>
        <v/>
      </c>
    </row>
    <row r="444">
      <c r="A444" s="16" t="inlineStr">
        <is>
          <t>5.29-6.4</t>
        </is>
      </c>
      <c r="B444" s="16" t="inlineStr">
        <is>
          <t>PO-128-18641389783673993</t>
        </is>
      </c>
      <c r="C444" s="16" t="inlineStr">
        <is>
          <t>Shipped</t>
        </is>
      </c>
      <c r="D444" s="16" t="inlineStr">
        <is>
          <t>128-18641358326393993</t>
        </is>
      </c>
      <c r="E444" s="16" t="inlineStr">
        <is>
          <t>Shipped</t>
        </is>
      </c>
      <c r="F444" s="16" t="inlineStr">
        <is>
          <t>MB-185N</t>
        </is>
      </c>
      <c r="G444" s="16" t="inlineStr">
        <is>
          <t>Bocina Radio FM/Reproductor, Compatible con Tarjeta TF, USB, Bluetooth, Aplicable para celular, computadora, Ipad y consola</t>
        </is>
      </c>
      <c r="H444" s="16" t="inlineStr">
        <is>
          <t>NEGRO/MB-185</t>
        </is>
      </c>
      <c r="I444" s="16" t="n">
        <v>1</v>
      </c>
      <c r="J444" s="17" t="n">
        <v>77.5</v>
      </c>
      <c r="K444" s="17" t="n">
        <v>90.44</v>
      </c>
      <c r="L444" s="17" t="n">
        <v>25.86</v>
      </c>
      <c r="M444" s="17" t="n">
        <v>0</v>
      </c>
      <c r="N444" s="17">
        <f>K444*0.08+L444*0.08</f>
        <v/>
      </c>
      <c r="O444" s="17">
        <f>-(K444*0.025+L444*0.025)</f>
        <v/>
      </c>
      <c r="P444" s="17">
        <f>32</f>
        <v/>
      </c>
      <c r="Q444" s="17">
        <f>J444+L444+N444+O444-P444-M444</f>
        <v/>
      </c>
    </row>
    <row r="445">
      <c r="A445" s="16" t="inlineStr">
        <is>
          <t>5.29-6.4</t>
        </is>
      </c>
      <c r="B445" s="16" t="inlineStr">
        <is>
          <t>PO-128-18939730227831383</t>
        </is>
      </c>
      <c r="C445" s="16" t="inlineStr">
        <is>
          <t>Shipped</t>
        </is>
      </c>
      <c r="D445" s="16" t="inlineStr">
        <is>
          <t>128-18939782656631383</t>
        </is>
      </c>
      <c r="E445" s="16" t="inlineStr">
        <is>
          <t>Shipped</t>
        </is>
      </c>
      <c r="F445" s="16" t="inlineStr">
        <is>
          <t>MB-185N</t>
        </is>
      </c>
      <c r="G445" s="16" t="inlineStr">
        <is>
          <t>Bocina Radio FM/Reproductor, Compatible con Tarjeta TF, USB, Bluetooth, Aplicable para celular, computadora, Ipad y consola</t>
        </is>
      </c>
      <c r="H445" s="16" t="inlineStr">
        <is>
          <t>NEGRO/MB-185</t>
        </is>
      </c>
      <c r="I445" s="16" t="n">
        <v>1</v>
      </c>
      <c r="J445" s="17" t="n">
        <v>77.5</v>
      </c>
      <c r="K445" s="17" t="n">
        <v>7.68</v>
      </c>
      <c r="L445" s="17" t="n">
        <v>25.86</v>
      </c>
      <c r="M445" s="17" t="n">
        <v>0</v>
      </c>
      <c r="N445" s="17">
        <f>K445*0.08+L445*0.08</f>
        <v/>
      </c>
      <c r="O445" s="17">
        <f>-(K445*0.025+L445*0.025)</f>
        <v/>
      </c>
      <c r="P445" s="17">
        <f>32</f>
        <v/>
      </c>
      <c r="Q445" s="17">
        <f>J445+L445+N445+O445-P445-M445</f>
        <v/>
      </c>
    </row>
    <row r="446">
      <c r="A446" s="16" t="inlineStr">
        <is>
          <t>5.29-6.4</t>
        </is>
      </c>
      <c r="B446" s="16" t="inlineStr">
        <is>
          <t>PO-128-18952199137911245</t>
        </is>
      </c>
      <c r="C446" s="16" t="inlineStr">
        <is>
          <t>Shipped</t>
        </is>
      </c>
      <c r="D446" s="16" t="inlineStr">
        <is>
          <t>128-18952178166391245</t>
        </is>
      </c>
      <c r="E446" s="16" t="inlineStr">
        <is>
          <t>Shipped</t>
        </is>
      </c>
      <c r="F446" s="16" t="inlineStr">
        <is>
          <t>A500-A</t>
        </is>
      </c>
      <c r="G446" s="16" t="inlineStr">
        <is>
          <t>Bocina Bluetooth Portátil Barra de Sonido, Inalámbrica con FM Radio, TWS, USB/TF, Graves Potentes para Hogar y Exteriores</t>
        </is>
      </c>
      <c r="H446" s="16" t="inlineStr">
        <is>
          <t>AZUL</t>
        </is>
      </c>
      <c r="I446" s="16" t="n">
        <v>1</v>
      </c>
      <c r="J446" s="17" t="n">
        <v>74.81</v>
      </c>
      <c r="K446" s="17" t="n">
        <v>84.76000000000001</v>
      </c>
      <c r="L446" s="17" t="n">
        <v>25.86</v>
      </c>
      <c r="M446" s="17" t="n">
        <v>0</v>
      </c>
      <c r="N446" s="17">
        <f>K446*0.08+L446*0.08</f>
        <v/>
      </c>
      <c r="O446" s="17">
        <f>-(K446*0.025+L446*0.025)</f>
        <v/>
      </c>
      <c r="P446" s="17">
        <f>32</f>
        <v/>
      </c>
      <c r="Q446" s="17">
        <f>J446+L446+N446+O446-P446-M446</f>
        <v/>
      </c>
    </row>
    <row r="447">
      <c r="A447" s="16" t="inlineStr">
        <is>
          <t>5.29-6.4</t>
        </is>
      </c>
      <c r="B447" s="16" t="inlineStr">
        <is>
          <t>PO-128-19114867958390147</t>
        </is>
      </c>
      <c r="C447" s="16" t="inlineStr">
        <is>
          <t>Shipped</t>
        </is>
      </c>
      <c r="D447" s="16" t="inlineStr">
        <is>
          <t>128-19114846986870147</t>
        </is>
      </c>
      <c r="E447" s="16" t="inlineStr">
        <is>
          <t>Shipped</t>
        </is>
      </c>
      <c r="F447" s="16" t="inlineStr">
        <is>
          <t>A500-A</t>
        </is>
      </c>
      <c r="G447" s="16" t="inlineStr">
        <is>
          <t>Bocina Bluetooth Portátil Barra de Sonido, Inalámbrica con FM Radio, TWS, USB/TF, Graves Potentes para Hogar y Exteriores</t>
        </is>
      </c>
      <c r="H447" s="16" t="inlineStr">
        <is>
          <t>AZUL</t>
        </is>
      </c>
      <c r="I447" s="16" t="n">
        <v>1</v>
      </c>
      <c r="J447" s="17" t="n">
        <v>74.81</v>
      </c>
      <c r="K447" s="17" t="n">
        <v>84.76000000000001</v>
      </c>
      <c r="L447" s="17" t="n">
        <v>25.86</v>
      </c>
      <c r="M447" s="17" t="n">
        <v>0</v>
      </c>
      <c r="N447" s="17">
        <f>K447*0.08+L447*0.08</f>
        <v/>
      </c>
      <c r="O447" s="17">
        <f>-(K447*0.025+L447*0.025)</f>
        <v/>
      </c>
      <c r="P447" s="17">
        <f>32</f>
        <v/>
      </c>
      <c r="Q447" s="17">
        <f>J447+L447+N447+O447-P447-M447</f>
        <v/>
      </c>
    </row>
    <row r="448">
      <c r="A448" s="16" t="inlineStr">
        <is>
          <t>5.29-6.4</t>
        </is>
      </c>
      <c r="B448" s="16" t="inlineStr">
        <is>
          <t>PO-128-07798534833272060</t>
        </is>
      </c>
      <c r="C448" s="16" t="inlineStr">
        <is>
          <t>Shipped</t>
        </is>
      </c>
      <c r="D448" s="16" t="inlineStr">
        <is>
          <t>128-07798513861752060</t>
        </is>
      </c>
      <c r="E448" s="16" t="inlineStr">
        <is>
          <t>Shipped</t>
        </is>
      </c>
      <c r="F448" s="16" t="inlineStr">
        <is>
          <t>A500-N</t>
        </is>
      </c>
      <c r="G448" s="16" t="inlineStr">
        <is>
          <t>Bocina Bluetooth Portátil Barra de Sonido, Inalámbrica con FM Radio, TWS, USB/TF, Graves Potentes para Hogar y Exteriores</t>
        </is>
      </c>
      <c r="H448" s="16" t="inlineStr">
        <is>
          <t>NEGRO</t>
        </is>
      </c>
      <c r="I448" s="16" t="n">
        <v>1</v>
      </c>
      <c r="J448" s="17" t="n">
        <v>79.81999999999999</v>
      </c>
      <c r="K448" s="17" t="n">
        <v>90.40000000000001</v>
      </c>
      <c r="L448" s="17" t="n">
        <v>25.86</v>
      </c>
      <c r="M448" s="17" t="n">
        <v>0</v>
      </c>
      <c r="N448" s="17">
        <f>K448*0.08+L448*0.08</f>
        <v/>
      </c>
      <c r="O448" s="17">
        <f>-(K448*0.025+L448*0.025)</f>
        <v/>
      </c>
      <c r="P448" s="17">
        <f>32</f>
        <v/>
      </c>
      <c r="Q448" s="17">
        <f>J448+L448+N448+O448-P448-M448</f>
        <v/>
      </c>
    </row>
    <row r="449">
      <c r="A449" s="16" t="inlineStr">
        <is>
          <t>5.29-6.4</t>
        </is>
      </c>
      <c r="B449" s="16" t="inlineStr">
        <is>
          <t>PO-128-07806846820472138</t>
        </is>
      </c>
      <c r="C449" s="16" t="inlineStr">
        <is>
          <t>Shipped</t>
        </is>
      </c>
      <c r="D449" s="16" t="inlineStr">
        <is>
          <t>128-07806888763512138</t>
        </is>
      </c>
      <c r="E449" s="16" t="inlineStr">
        <is>
          <t>Shipped</t>
        </is>
      </c>
      <c r="F449" s="16" t="inlineStr">
        <is>
          <t>SA320T-Y</t>
        </is>
      </c>
      <c r="G449" s="16" t="inlineStr">
        <is>
          <t>Altavoz inalámbrico portátil con Luces RGB, Radio FM y Manija - 5h Duración, TWS, TF Card, Compacto y Recargable via USB，Perfecto para viajes, fiestas y gaming</t>
        </is>
      </c>
      <c r="H449" s="16" t="inlineStr">
        <is>
          <t>amarillo</t>
        </is>
      </c>
      <c r="I449" s="16" t="n">
        <v>1</v>
      </c>
      <c r="J449" s="17" t="n">
        <v>54</v>
      </c>
      <c r="K449" s="17" t="n">
        <v>21.06</v>
      </c>
      <c r="L449" s="17" t="n">
        <v>25.86</v>
      </c>
      <c r="M449" s="17" t="n">
        <v>0</v>
      </c>
      <c r="N449" s="17">
        <f>K449*0.08+L449*0.08</f>
        <v/>
      </c>
      <c r="O449" s="17">
        <f>-(K449*0.025+L449*0.025)</f>
        <v/>
      </c>
      <c r="P449" s="17">
        <f>32</f>
        <v/>
      </c>
      <c r="Q449" s="17">
        <f>J449+L449+N449+O449-P449-M449</f>
        <v/>
      </c>
    </row>
    <row r="450">
      <c r="A450" s="16" t="inlineStr">
        <is>
          <t>5.29-6.4</t>
        </is>
      </c>
      <c r="B450" s="16" t="inlineStr">
        <is>
          <t>PO-128-08218981015670706</t>
        </is>
      </c>
      <c r="C450" s="16" t="inlineStr">
        <is>
          <t>Shipped</t>
        </is>
      </c>
      <c r="D450" s="16" t="inlineStr">
        <is>
          <t>128-08218970529910706</t>
        </is>
      </c>
      <c r="E450" s="16" t="inlineStr">
        <is>
          <t>Shipped</t>
        </is>
      </c>
      <c r="F450" s="16" t="inlineStr">
        <is>
          <t>A500-N</t>
        </is>
      </c>
      <c r="G450" s="16" t="inlineStr">
        <is>
          <t>Bocina Bluetooth Portátil Barra de Sonido, Inalámbrica con FM Radio, TWS, USB/TF, Graves Potentes para Hogar y Exteriores</t>
        </is>
      </c>
      <c r="H450" s="16" t="inlineStr">
        <is>
          <t>NEGRO</t>
        </is>
      </c>
      <c r="I450" s="16" t="n">
        <v>1</v>
      </c>
      <c r="J450" s="17" t="n">
        <v>79.81999999999999</v>
      </c>
      <c r="K450" s="17" t="n">
        <v>73.43000000000001</v>
      </c>
      <c r="L450" s="17" t="n">
        <v>25.86</v>
      </c>
      <c r="M450" s="17" t="n">
        <v>0</v>
      </c>
      <c r="N450" s="17">
        <f>K450*0.08+L450*0.08</f>
        <v/>
      </c>
      <c r="O450" s="17">
        <f>-(K450*0.025+L450*0.025)</f>
        <v/>
      </c>
      <c r="P450" s="17">
        <f>32</f>
        <v/>
      </c>
      <c r="Q450" s="17">
        <f>J450+L450+N450+O450-P450-M450</f>
        <v/>
      </c>
    </row>
    <row r="451">
      <c r="A451" s="16" t="inlineStr">
        <is>
          <t>5.29-6.4</t>
        </is>
      </c>
      <c r="B451" s="16" t="inlineStr">
        <is>
          <t>PO-128-07768338691192368</t>
        </is>
      </c>
      <c r="C451" s="16" t="inlineStr">
        <is>
          <t>Shipped</t>
        </is>
      </c>
      <c r="D451" s="16" t="inlineStr">
        <is>
          <t>128-07768317719672368</t>
        </is>
      </c>
      <c r="E451" s="16" t="inlineStr">
        <is>
          <t>Shipped</t>
        </is>
      </c>
      <c r="F451" s="16" t="inlineStr">
        <is>
          <t>MB-183N</t>
        </is>
      </c>
      <c r="G451" s="16" t="inlineStr">
        <is>
          <t>Linkbits Altavoz Bluetooth Portátil con Stereo Inalámbrico TWS Impermeable y a Prueba de Polvo IP65 Altavoz de Graves de Rango Completo de 52mm con Doble Unidad Ligero de 215g para Camping Senderismo y Fiestas al Aire Libre</t>
        </is>
      </c>
      <c r="H451" s="16" t="inlineStr">
        <is>
          <t>NEGRO/MB-183</t>
        </is>
      </c>
      <c r="I451" s="16" t="n">
        <v>1</v>
      </c>
      <c r="J451" s="17" t="n">
        <v>95</v>
      </c>
      <c r="K451" s="17" t="n">
        <v>112.38</v>
      </c>
      <c r="L451" s="17" t="n">
        <v>25.86</v>
      </c>
      <c r="M451" s="17" t="n">
        <v>0</v>
      </c>
      <c r="N451" s="17">
        <f>K451*0.08+L451*0.08</f>
        <v/>
      </c>
      <c r="O451" s="17">
        <f>-(K451*0.025+L451*0.025)</f>
        <v/>
      </c>
      <c r="P451" s="17">
        <f>32</f>
        <v/>
      </c>
      <c r="Q451" s="17">
        <f>J451+L451+N451+O451-P451-M451</f>
        <v/>
      </c>
    </row>
    <row r="452">
      <c r="A452" s="16" t="inlineStr">
        <is>
          <t>5.29-6.4</t>
        </is>
      </c>
      <c r="B452" s="16" t="inlineStr">
        <is>
          <t>PO-128-07835712807033054</t>
        </is>
      </c>
      <c r="C452" s="16" t="inlineStr">
        <is>
          <t>Shipped</t>
        </is>
      </c>
      <c r="D452" s="16" t="inlineStr">
        <is>
          <t>128-07835691835513054</t>
        </is>
      </c>
      <c r="E452" s="16" t="inlineStr">
        <is>
          <t>Shipped</t>
        </is>
      </c>
      <c r="F452" s="16" t="inlineStr">
        <is>
          <t>A500-N</t>
        </is>
      </c>
      <c r="G452" s="16" t="inlineStr">
        <is>
          <t>Bocina Bluetooth Portátil Barra de Sonido, Inalámbrica con FM Radio, TWS, USB/TF, Graves Potentes para Hogar y Exteriores</t>
        </is>
      </c>
      <c r="H452" s="16" t="inlineStr">
        <is>
          <t>NEGRO</t>
        </is>
      </c>
      <c r="I452" s="16" t="n">
        <v>1</v>
      </c>
      <c r="J452" s="17" t="n">
        <v>79.81999999999999</v>
      </c>
      <c r="K452" s="17" t="n">
        <v>90.40000000000001</v>
      </c>
      <c r="L452" s="17" t="n">
        <v>25.86</v>
      </c>
      <c r="M452" s="17" t="n">
        <v>0</v>
      </c>
      <c r="N452" s="17">
        <f>K452*0.08+L452*0.08</f>
        <v/>
      </c>
      <c r="O452" s="17">
        <f>-(K452*0.025+L452*0.025)</f>
        <v/>
      </c>
      <c r="P452" s="17">
        <f>32</f>
        <v/>
      </c>
      <c r="Q452" s="17">
        <f>J452+L452+N452+O452-P452-M452</f>
        <v/>
      </c>
    </row>
    <row r="453">
      <c r="A453" s="16" t="inlineStr">
        <is>
          <t>5.29-6.4</t>
        </is>
      </c>
      <c r="B453" s="16" t="inlineStr">
        <is>
          <t>PO-128-07960999230071221</t>
        </is>
      </c>
      <c r="C453" s="16" t="inlineStr">
        <is>
          <t>Shipped</t>
        </is>
      </c>
      <c r="D453" s="16" t="inlineStr">
        <is>
          <t>128-07960998247031221</t>
        </is>
      </c>
      <c r="E453" s="16" t="inlineStr">
        <is>
          <t>Shipped</t>
        </is>
      </c>
      <c r="F453" s="16" t="inlineStr">
        <is>
          <t>A500-N</t>
        </is>
      </c>
      <c r="G453" s="16" t="inlineStr">
        <is>
          <t>Bocina Bluetooth Portátil Barra de Sonido, Inalámbrica con FM Radio, TWS, USB/TF, Graves Potentes para Hogar y Exteriores</t>
        </is>
      </c>
      <c r="H453" s="16" t="inlineStr">
        <is>
          <t>NEGRO</t>
        </is>
      </c>
      <c r="I453" s="16" t="n">
        <v>1</v>
      </c>
      <c r="J453" s="17" t="n">
        <v>79.81999999999999</v>
      </c>
      <c r="K453" s="17" t="n">
        <v>90.40000000000001</v>
      </c>
      <c r="L453" s="17" t="n">
        <v>25.86</v>
      </c>
      <c r="M453" s="17" t="n">
        <v>0</v>
      </c>
      <c r="N453" s="17">
        <f>K453*0.08+L453*0.08</f>
        <v/>
      </c>
      <c r="O453" s="17">
        <f>-(K453*0.025+L453*0.025)</f>
        <v/>
      </c>
      <c r="P453" s="17">
        <f>32</f>
        <v/>
      </c>
      <c r="Q453" s="17">
        <f>J453+L453+N453+O453-P453-M453</f>
        <v/>
      </c>
    </row>
    <row r="454">
      <c r="A454" s="16" t="inlineStr">
        <is>
          <t>5.29-6.4</t>
        </is>
      </c>
      <c r="B454" s="16" t="inlineStr">
        <is>
          <t>PO-128-07719051105913623</t>
        </is>
      </c>
      <c r="C454" s="16" t="inlineStr">
        <is>
          <t>Shipped</t>
        </is>
      </c>
      <c r="D454" s="16" t="inlineStr">
        <is>
          <t>128-07719070111353623</t>
        </is>
      </c>
      <c r="E454" s="16" t="inlineStr">
        <is>
          <t>Shipped</t>
        </is>
      </c>
      <c r="F454" s="16" t="inlineStr">
        <is>
          <t>A500-N</t>
        </is>
      </c>
      <c r="G454" s="16" t="inlineStr">
        <is>
          <t>Bocina Bluetooth Portátil Barra de Sonido, Inalámbrica con FM Radio, TWS, USB/TF, Graves Potentes para Hogar y Exteriores</t>
        </is>
      </c>
      <c r="H454" s="16" t="inlineStr">
        <is>
          <t>NEGRO</t>
        </is>
      </c>
      <c r="I454" s="16" t="n">
        <v>1</v>
      </c>
      <c r="J454" s="17" t="n">
        <v>79.81999999999999</v>
      </c>
      <c r="K454" s="17" t="n">
        <v>90.40000000000001</v>
      </c>
      <c r="L454" s="17" t="n">
        <v>25.86</v>
      </c>
      <c r="M454" s="17" t="n">
        <v>0</v>
      </c>
      <c r="N454" s="17">
        <f>K454*0.08+L454*0.08</f>
        <v/>
      </c>
      <c r="O454" s="17">
        <f>-(K454*0.025+L454*0.025)</f>
        <v/>
      </c>
      <c r="P454" s="17">
        <f>32</f>
        <v/>
      </c>
      <c r="Q454" s="17">
        <f>J454+L454+N454+O454-P454-M454</f>
        <v/>
      </c>
    </row>
    <row r="455">
      <c r="A455" s="16" t="inlineStr">
        <is>
          <t>5.29-6.4</t>
        </is>
      </c>
      <c r="B455" s="16" t="inlineStr">
        <is>
          <t>PO-128-08082104965750435</t>
        </is>
      </c>
      <c r="C455" s="16" t="inlineStr">
        <is>
          <t>Shipped</t>
        </is>
      </c>
      <c r="D455" s="16" t="inlineStr">
        <is>
          <t>128-08082115451510435</t>
        </is>
      </c>
      <c r="E455" s="16" t="inlineStr">
        <is>
          <t>Shipped</t>
        </is>
      </c>
      <c r="F455" s="16" t="inlineStr">
        <is>
          <t>MB-185A</t>
        </is>
      </c>
      <c r="G455" s="16" t="inlineStr">
        <is>
          <t>Bocina Radio FM/Reproductor, Compatible con Tarjeta TF, USB, Bluetooth, Aplicable para celular, computadora, Ipad y consola</t>
        </is>
      </c>
      <c r="H455" s="16" t="inlineStr">
        <is>
          <t>AZUL/MB-185</t>
        </is>
      </c>
      <c r="I455" s="16" t="n">
        <v>1</v>
      </c>
      <c r="J455" s="17" t="n">
        <v>75</v>
      </c>
      <c r="K455" s="17" t="n">
        <v>87.94</v>
      </c>
      <c r="L455" s="17" t="n">
        <v>25.86</v>
      </c>
      <c r="M455" s="17" t="n">
        <v>0</v>
      </c>
      <c r="N455" s="17">
        <f>K455*0.08+L455*0.08</f>
        <v/>
      </c>
      <c r="O455" s="17">
        <f>-(K455*0.025+L455*0.025)</f>
        <v/>
      </c>
      <c r="P455" s="17">
        <f>32</f>
        <v/>
      </c>
      <c r="Q455" s="17">
        <f>J455+L455+N455+O455-P455-M455</f>
        <v/>
      </c>
    </row>
    <row r="456">
      <c r="A456" s="16" t="inlineStr">
        <is>
          <t>5.29-6.4</t>
        </is>
      </c>
      <c r="B456" s="16" t="inlineStr">
        <is>
          <t>PO-128-13509306593911815</t>
        </is>
      </c>
      <c r="C456" s="16" t="inlineStr">
        <is>
          <t>Shipped</t>
        </is>
      </c>
      <c r="D456" s="16" t="inlineStr">
        <is>
          <t>128-13509327565431815</t>
        </is>
      </c>
      <c r="E456" s="16" t="inlineStr">
        <is>
          <t>Shipped</t>
        </is>
      </c>
      <c r="F456" s="16" t="inlineStr">
        <is>
          <t>A500-A</t>
        </is>
      </c>
      <c r="G456" s="16" t="inlineStr">
        <is>
          <t>Bocina Bluetooth Portátil Barra de Sonido, Inalámbrica con FM Radio, TWS, USB/TF, Graves Potentes para Hogar y Exteriores</t>
        </is>
      </c>
      <c r="H456" s="16" t="inlineStr">
        <is>
          <t>AZUL</t>
        </is>
      </c>
      <c r="I456" s="16" t="n">
        <v>1</v>
      </c>
      <c r="J456" s="17" t="n">
        <v>74.81</v>
      </c>
      <c r="K456" s="17" t="n">
        <v>84.76000000000001</v>
      </c>
      <c r="L456" s="17" t="n">
        <v>25.86</v>
      </c>
      <c r="M456" s="17" t="n">
        <v>0</v>
      </c>
      <c r="N456" s="17">
        <f>K456*0.08+L456*0.08</f>
        <v/>
      </c>
      <c r="O456" s="17">
        <f>-(K456*0.025+L456*0.025)</f>
        <v/>
      </c>
      <c r="P456" s="17">
        <f>32</f>
        <v/>
      </c>
      <c r="Q456" s="17">
        <f>J456+L456+N456+O456-P456-M456</f>
        <v/>
      </c>
    </row>
    <row r="457">
      <c r="A457" s="16" t="inlineStr">
        <is>
          <t>5.29-6.4</t>
        </is>
      </c>
      <c r="B457" s="16" t="inlineStr">
        <is>
          <t>PO-128-13446308803191164</t>
        </is>
      </c>
      <c r="C457" s="16" t="inlineStr">
        <is>
          <t>Shipped</t>
        </is>
      </c>
      <c r="D457" s="16" t="inlineStr">
        <is>
          <t>128-13446413660791164</t>
        </is>
      </c>
      <c r="E457" s="16" t="inlineStr">
        <is>
          <t>Shipped</t>
        </is>
      </c>
      <c r="F457" s="16" t="inlineStr">
        <is>
          <t>A500-A</t>
        </is>
      </c>
      <c r="G457" s="16" t="inlineStr">
        <is>
          <t>Bocina Bluetooth Portátil Barra de Sonido, Inalámbrica con FM Radio, TWS, USB/TF, Graves Potentes para Hogar y Exteriores</t>
        </is>
      </c>
      <c r="H457" s="16" t="inlineStr">
        <is>
          <t>AZUL</t>
        </is>
      </c>
      <c r="I457" s="16" t="n">
        <v>2</v>
      </c>
      <c r="J457" s="17" t="n">
        <v>149.62</v>
      </c>
      <c r="K457" s="17" t="n">
        <v>141.41</v>
      </c>
      <c r="L457" s="17" t="n">
        <v>0</v>
      </c>
      <c r="M457" s="17" t="n">
        <v>0</v>
      </c>
      <c r="N457" s="17">
        <f>K457*0.08+L457*0.08</f>
        <v/>
      </c>
      <c r="O457" s="17">
        <f>-(K457*0.025+L457*0.025)</f>
        <v/>
      </c>
      <c r="P457" s="17">
        <f>32</f>
        <v/>
      </c>
      <c r="Q457" s="17">
        <f>J457+L457+N457+O457-P457-M457</f>
        <v/>
      </c>
    </row>
    <row r="458">
      <c r="A458" s="16" t="inlineStr">
        <is>
          <t>5.29-6.4</t>
        </is>
      </c>
      <c r="B458" s="16" t="inlineStr">
        <is>
          <t>PO-128-13446308803191164</t>
        </is>
      </c>
      <c r="C458" s="16" t="inlineStr">
        <is>
          <t>Shipped</t>
        </is>
      </c>
      <c r="D458" s="16" t="inlineStr">
        <is>
          <t>128-13446371717751164</t>
        </is>
      </c>
      <c r="E458" s="16" t="inlineStr">
        <is>
          <t>Shipped</t>
        </is>
      </c>
      <c r="F458" s="16" t="inlineStr">
        <is>
          <t>A500-N</t>
        </is>
      </c>
      <c r="G458" s="16" t="inlineStr">
        <is>
          <t>Bocina Bluetooth Portátil Barra de Sonido, Inalámbrica con FM Radio, TWS, USB/TF, Graves Potentes para Hogar y Exteriores</t>
        </is>
      </c>
      <c r="H458" s="16" t="inlineStr">
        <is>
          <t>NEGRO</t>
        </is>
      </c>
      <c r="I458" s="16" t="n">
        <v>1</v>
      </c>
      <c r="J458" s="17" t="n">
        <v>79.81999999999999</v>
      </c>
      <c r="K458" s="17" t="n">
        <v>75.41</v>
      </c>
      <c r="L458" s="17" t="n">
        <v>0</v>
      </c>
      <c r="M458" s="17" t="n">
        <v>0</v>
      </c>
      <c r="N458" s="17">
        <f>K458*0.08+L458*0.08</f>
        <v/>
      </c>
      <c r="O458" s="17">
        <f>-(K458*0.025+L458*0.025)</f>
        <v/>
      </c>
      <c r="P458" s="17">
        <f>32</f>
        <v/>
      </c>
      <c r="Q458" s="17">
        <f>J458+L458+N458+O458-P458-M458</f>
        <v/>
      </c>
    </row>
    <row r="459">
      <c r="A459" s="16" t="inlineStr">
        <is>
          <t>5.29-6.4</t>
        </is>
      </c>
      <c r="B459" s="16" t="inlineStr">
        <is>
          <t>PO-128-13672900700790966</t>
        </is>
      </c>
      <c r="C459" s="16" t="inlineStr">
        <is>
          <t>Shipped</t>
        </is>
      </c>
      <c r="D459" s="16" t="inlineStr">
        <is>
          <t>128-13672858757750966</t>
        </is>
      </c>
      <c r="E459" s="16" t="inlineStr">
        <is>
          <t>Shipped</t>
        </is>
      </c>
      <c r="F459" s="16" t="inlineStr">
        <is>
          <t>SA320T-A</t>
        </is>
      </c>
      <c r="G459" s="16" t="inlineStr">
        <is>
          <t>Altavoz inalámbrico portátil con Luces RGB, Radio FM y Manija - 5h Duración, TWS, TF Card, Compacto y Recargable via USB，Perfecto para viajes, fiestas y gaming</t>
        </is>
      </c>
      <c r="H459" s="16" t="inlineStr">
        <is>
          <t>azul</t>
        </is>
      </c>
      <c r="I459" s="16" t="n">
        <v>1</v>
      </c>
      <c r="J459" s="17" t="n">
        <v>51</v>
      </c>
      <c r="K459" s="17" t="n">
        <v>61.72</v>
      </c>
      <c r="L459" s="17" t="n">
        <v>25.86</v>
      </c>
      <c r="M459" s="17" t="n">
        <v>0</v>
      </c>
      <c r="N459" s="17">
        <f>K459*0.08+L459*0.08</f>
        <v/>
      </c>
      <c r="O459" s="17">
        <f>-(K459*0.025+L459*0.025)</f>
        <v/>
      </c>
      <c r="P459" s="17">
        <f>32</f>
        <v/>
      </c>
      <c r="Q459" s="17">
        <f>J459+L459+N459+O459-P459-M459</f>
        <v/>
      </c>
    </row>
    <row r="460">
      <c r="A460" s="16" t="inlineStr">
        <is>
          <t>5.29-6.4</t>
        </is>
      </c>
      <c r="B460" s="16" t="inlineStr">
        <is>
          <t>PO-128-13147779082873968</t>
        </is>
      </c>
      <c r="C460" s="16" t="inlineStr">
        <is>
          <t>Shipped</t>
        </is>
      </c>
      <c r="D460" s="16" t="inlineStr">
        <is>
          <t>128-13147789568633968</t>
        </is>
      </c>
      <c r="E460" s="16" t="inlineStr">
        <is>
          <t>Shipped</t>
        </is>
      </c>
      <c r="F460" s="16" t="inlineStr">
        <is>
          <t>SA320T-R</t>
        </is>
      </c>
      <c r="G460" s="16" t="inlineStr">
        <is>
          <t>Altavoz inalámbrico portátil con Luces RGB, Radio FM y Manija - 5h Duración, TWS, TF Card, Compacto y Recargable via USB，Perfecto para viajes, fiestas y gaming</t>
        </is>
      </c>
      <c r="H460" s="16" t="inlineStr">
        <is>
          <t>rojo</t>
        </is>
      </c>
      <c r="I460" s="16" t="n">
        <v>1</v>
      </c>
      <c r="J460" s="17" t="n">
        <v>56</v>
      </c>
      <c r="K460" s="17" t="n">
        <v>60.92</v>
      </c>
      <c r="L460" s="17" t="n">
        <v>25.86</v>
      </c>
      <c r="M460" s="17" t="n">
        <v>0</v>
      </c>
      <c r="N460" s="17">
        <f>K460*0.08+L460*0.08</f>
        <v/>
      </c>
      <c r="O460" s="17">
        <f>-(K460*0.025+L460*0.025)</f>
        <v/>
      </c>
      <c r="P460" s="17">
        <f>32</f>
        <v/>
      </c>
      <c r="Q460" s="17">
        <f>J460+L460+N460+O460-P460-M460</f>
        <v/>
      </c>
    </row>
    <row r="461">
      <c r="A461" s="16" t="inlineStr">
        <is>
          <t>5.29-6.4</t>
        </is>
      </c>
      <c r="B461" s="16" t="inlineStr">
        <is>
          <t>PO-128-13540815596151755</t>
        </is>
      </c>
      <c r="C461" s="16" t="inlineStr">
        <is>
          <t>Shipped</t>
        </is>
      </c>
      <c r="D461" s="16" t="inlineStr">
        <is>
          <t>128-13540883753591755</t>
        </is>
      </c>
      <c r="E461" s="16" t="inlineStr">
        <is>
          <t>Shipped</t>
        </is>
      </c>
      <c r="F461" s="16" t="inlineStr">
        <is>
          <t>SA320T-P</t>
        </is>
      </c>
      <c r="G461" s="16" t="inlineStr">
        <is>
          <t>Altavoz inalámbrico portátil con Luces RGB, Radio FM y Manija - 5h Duración, TWS, TF Card, Compacto y Recargable via USB，Perfecto para viajes, fiestas y gaming</t>
        </is>
      </c>
      <c r="H461" s="16" t="inlineStr">
        <is>
          <t>rosa</t>
        </is>
      </c>
      <c r="I461" s="16" t="n">
        <v>1</v>
      </c>
      <c r="J461" s="17" t="n">
        <v>60</v>
      </c>
      <c r="K461" s="17" t="n">
        <v>70.72</v>
      </c>
      <c r="L461" s="17" t="n">
        <v>25.86</v>
      </c>
      <c r="M461" s="17" t="n">
        <v>0</v>
      </c>
      <c r="N461" s="17">
        <f>K461*0.08+L461*0.08</f>
        <v/>
      </c>
      <c r="O461" s="17">
        <f>-(K461*0.025+L461*0.025)</f>
        <v/>
      </c>
      <c r="P461" s="17">
        <f>32</f>
        <v/>
      </c>
      <c r="Q461" s="17">
        <f>J461+L461+N461+O461-P461-M461</f>
        <v/>
      </c>
    </row>
    <row r="462">
      <c r="A462" s="16" t="inlineStr">
        <is>
          <t>5.29-6.4</t>
        </is>
      </c>
      <c r="B462" s="16" t="inlineStr">
        <is>
          <t>PO-128-13246807532152547</t>
        </is>
      </c>
      <c r="C462" s="16" t="inlineStr">
        <is>
          <t>Shipped</t>
        </is>
      </c>
      <c r="D462" s="16" t="inlineStr">
        <is>
          <t>128-13246828503672547</t>
        </is>
      </c>
      <c r="E462" s="16" t="inlineStr">
        <is>
          <t>Shipped</t>
        </is>
      </c>
      <c r="F462" s="16" t="inlineStr">
        <is>
          <t>A500-R</t>
        </is>
      </c>
      <c r="G462" s="16" t="inlineStr">
        <is>
          <t>Bocina Bluetooth Portátil Barra de Sonido, Inalámbrica con FM Radio, TWS, USB/TF, Graves Potentes para Hogar y Exteriores</t>
        </is>
      </c>
      <c r="H462" s="16" t="inlineStr">
        <is>
          <t>ROIO</t>
        </is>
      </c>
      <c r="I462" s="16" t="n">
        <v>1</v>
      </c>
      <c r="J462" s="17" t="n">
        <v>78.97</v>
      </c>
      <c r="K462" s="17" t="n">
        <v>75.94</v>
      </c>
      <c r="L462" s="17" t="n">
        <v>25.86</v>
      </c>
      <c r="M462" s="17" t="n">
        <v>0</v>
      </c>
      <c r="N462" s="17">
        <f>K462*0.08+L462*0.08</f>
        <v/>
      </c>
      <c r="O462" s="17">
        <f>-(K462*0.025+L462*0.025)</f>
        <v/>
      </c>
      <c r="P462" s="17">
        <f>32</f>
        <v/>
      </c>
      <c r="Q462" s="17">
        <f>J462+L462+N462+O462-P462-M462</f>
        <v/>
      </c>
    </row>
    <row r="463">
      <c r="A463" s="16" t="inlineStr">
        <is>
          <t>5.29-6.4</t>
        </is>
      </c>
      <c r="B463" s="16" t="inlineStr">
        <is>
          <t>PO-128-02488702615671135</t>
        </is>
      </c>
      <c r="C463" s="16" t="inlineStr">
        <is>
          <t>Shipped</t>
        </is>
      </c>
      <c r="D463" s="16" t="inlineStr">
        <is>
          <t>128-02488713101431135</t>
        </is>
      </c>
      <c r="E463" s="16" t="inlineStr">
        <is>
          <t>Shipped</t>
        </is>
      </c>
      <c r="F463" s="16" t="inlineStr">
        <is>
          <t>MB-185N</t>
        </is>
      </c>
      <c r="G463" s="16" t="inlineStr">
        <is>
          <t>Bocina Radio FM/Reproductor, Compatible con Tarjeta TF, USB, Bluetooth, Aplicable para celular, computadora, Ipad y consola</t>
        </is>
      </c>
      <c r="H463" s="16" t="inlineStr">
        <is>
          <t>NEGRO/MB-185</t>
        </is>
      </c>
      <c r="I463" s="16" t="n">
        <v>1</v>
      </c>
      <c r="J463" s="17" t="n">
        <v>66</v>
      </c>
      <c r="K463" s="17" t="n">
        <v>78.94</v>
      </c>
      <c r="L463" s="17" t="n">
        <v>25.86</v>
      </c>
      <c r="M463" s="17" t="n">
        <v>0</v>
      </c>
      <c r="N463" s="17">
        <f>K463*0.08+L463*0.08</f>
        <v/>
      </c>
      <c r="O463" s="17">
        <f>-(K463*0.025+L463*0.025)</f>
        <v/>
      </c>
      <c r="P463" s="17">
        <f>32</f>
        <v/>
      </c>
      <c r="Q463" s="17">
        <f>J463+L463+N463+O463-P463-M463</f>
        <v/>
      </c>
    </row>
    <row r="464">
      <c r="A464" s="16" t="inlineStr">
        <is>
          <t>5.29-6.4</t>
        </is>
      </c>
      <c r="B464" s="16" t="inlineStr">
        <is>
          <t>PO-128-02546460173431748</t>
        </is>
      </c>
      <c r="C464" s="16" t="inlineStr">
        <is>
          <t>Shipped</t>
        </is>
      </c>
      <c r="D464" s="16" t="inlineStr">
        <is>
          <t>128-02546596488311748</t>
        </is>
      </c>
      <c r="E464" s="16" t="inlineStr">
        <is>
          <t>Shipped</t>
        </is>
      </c>
      <c r="F464" s="16" t="inlineStr">
        <is>
          <t>A500-R</t>
        </is>
      </c>
      <c r="G464" s="16" t="inlineStr">
        <is>
          <t>Bocina Bluetooth Portátil Barra de Sonido, Inalámbrica con FM Radio, TWS, USB/TF, Graves Potentes para Hogar y Exteriores</t>
        </is>
      </c>
      <c r="H464" s="16" t="inlineStr">
        <is>
          <t>ROIO</t>
        </is>
      </c>
      <c r="I464" s="16" t="n">
        <v>1</v>
      </c>
      <c r="J464" s="17" t="n">
        <v>78</v>
      </c>
      <c r="K464" s="17" t="n">
        <v>88.36</v>
      </c>
      <c r="L464" s="17" t="n">
        <v>25.86</v>
      </c>
      <c r="M464" s="17" t="n">
        <v>0</v>
      </c>
      <c r="N464" s="17">
        <f>K464*0.08+L464*0.08</f>
        <v/>
      </c>
      <c r="O464" s="17">
        <f>-(K464*0.025+L464*0.025)</f>
        <v/>
      </c>
      <c r="P464" s="17">
        <f>32</f>
        <v/>
      </c>
      <c r="Q464" s="17">
        <f>J464+L464+N464+O464-P464-M464</f>
        <v/>
      </c>
    </row>
    <row r="465">
      <c r="A465" s="16" t="inlineStr">
        <is>
          <t>5.29-6.4</t>
        </is>
      </c>
      <c r="B465" s="16" t="inlineStr">
        <is>
          <t>PO-128-02399344279672627</t>
        </is>
      </c>
      <c r="C465" s="16" t="inlineStr">
        <is>
          <t>Shipped</t>
        </is>
      </c>
      <c r="D465" s="16" t="inlineStr">
        <is>
          <t>128-02399333793912627</t>
        </is>
      </c>
      <c r="E465" s="16" t="inlineStr">
        <is>
          <t>Shipped</t>
        </is>
      </c>
      <c r="F465" s="16" t="inlineStr">
        <is>
          <t>A500-N</t>
        </is>
      </c>
      <c r="G465" s="16" t="inlineStr">
        <is>
          <t>Bocina Bluetooth Portátil Barra de Sonido, Inalámbrica con FM Radio, TWS, USB/TF, Graves Potentes para Hogar y Exteriores</t>
        </is>
      </c>
      <c r="H465" s="16" t="inlineStr">
        <is>
          <t>NEGRO</t>
        </is>
      </c>
      <c r="I465" s="16" t="n">
        <v>1</v>
      </c>
      <c r="J465" s="17" t="n">
        <v>78</v>
      </c>
      <c r="K465" s="17" t="n">
        <v>70.86</v>
      </c>
      <c r="L465" s="17" t="n">
        <v>25.86</v>
      </c>
      <c r="M465" s="17" t="n">
        <v>0</v>
      </c>
      <c r="N465" s="17">
        <f>K465*0.08+L465*0.08</f>
        <v/>
      </c>
      <c r="O465" s="17">
        <f>-(K465*0.025+L465*0.025)</f>
        <v/>
      </c>
      <c r="P465" s="17">
        <f>32</f>
        <v/>
      </c>
      <c r="Q465" s="17">
        <f>J465+L465+N465+O465-P465-M465</f>
        <v/>
      </c>
    </row>
    <row r="466">
      <c r="A466" s="16" t="inlineStr">
        <is>
          <t>5.29-6.4</t>
        </is>
      </c>
      <c r="B466" s="16" t="inlineStr">
        <is>
          <t>PO-128-02743719027830639</t>
        </is>
      </c>
      <c r="C466" s="16" t="inlineStr">
        <is>
          <t>Shipped</t>
        </is>
      </c>
      <c r="D466" s="16" t="inlineStr">
        <is>
          <t>128-02743677084790639</t>
        </is>
      </c>
      <c r="E466" s="16" t="inlineStr">
        <is>
          <t>Shipped</t>
        </is>
      </c>
      <c r="F466" s="16" t="inlineStr">
        <is>
          <t>SA320T-A</t>
        </is>
      </c>
      <c r="G466" s="16" t="inlineStr">
        <is>
          <t>Altavoz inalámbrico portátil con Luces RGB, Radio FM y Manija - 5h Duración, TWS, TF Card, Compacto y Recargable via USB，Perfecto para viajes, fiestas y gaming</t>
        </is>
      </c>
      <c r="H466" s="16" t="inlineStr">
        <is>
          <t>azul</t>
        </is>
      </c>
      <c r="I466" s="16" t="n">
        <v>1</v>
      </c>
      <c r="J466" s="17" t="n">
        <v>54</v>
      </c>
      <c r="K466" s="17" t="n">
        <v>64.72</v>
      </c>
      <c r="L466" s="17" t="n">
        <v>25.86</v>
      </c>
      <c r="M466" s="17" t="n">
        <v>0</v>
      </c>
      <c r="N466" s="17">
        <f>K466*0.08+L466*0.08</f>
        <v/>
      </c>
      <c r="O466" s="17">
        <f>-(K466*0.025+L466*0.025)</f>
        <v/>
      </c>
      <c r="P466" s="17">
        <f>32</f>
        <v/>
      </c>
      <c r="Q466" s="17">
        <f>J466+L466+N466+O466-P466-M466</f>
        <v/>
      </c>
    </row>
    <row r="467">
      <c r="A467" s="16" t="inlineStr">
        <is>
          <t>5.29-6.4</t>
        </is>
      </c>
      <c r="B467" s="16" t="inlineStr">
        <is>
          <t>PO-128-02433468273271334</t>
        </is>
      </c>
      <c r="C467" s="16" t="inlineStr">
        <is>
          <t>Shipped</t>
        </is>
      </c>
      <c r="D467" s="16" t="inlineStr">
        <is>
          <t>128-02433520702071334</t>
        </is>
      </c>
      <c r="E467" s="16" t="inlineStr">
        <is>
          <t>Shipped</t>
        </is>
      </c>
      <c r="F467" s="16" t="inlineStr">
        <is>
          <t>A500-N</t>
        </is>
      </c>
      <c r="G467" s="16" t="inlineStr">
        <is>
          <t>Bocina Bluetooth Portátil Barra de Sonido, Inalámbrica con FM Radio, TWS, USB/TF, Graves Potentes para Hogar y Exteriores</t>
        </is>
      </c>
      <c r="H467" s="16" t="inlineStr">
        <is>
          <t>NEGRO</t>
        </is>
      </c>
      <c r="I467" s="16" t="n">
        <v>1</v>
      </c>
      <c r="J467" s="17" t="n">
        <v>78</v>
      </c>
      <c r="K467" s="17" t="n">
        <v>88.56999999999999</v>
      </c>
      <c r="L467" s="17" t="n">
        <v>25.86</v>
      </c>
      <c r="M467" s="17" t="n">
        <v>0</v>
      </c>
      <c r="N467" s="17">
        <f>K467*0.08+L467*0.08</f>
        <v/>
      </c>
      <c r="O467" s="17">
        <f>-(K467*0.025+L467*0.025)</f>
        <v/>
      </c>
      <c r="P467" s="17">
        <f>32</f>
        <v/>
      </c>
      <c r="Q467" s="17">
        <f>J467+L467+N467+O467-P467-M467</f>
        <v/>
      </c>
    </row>
    <row r="468">
      <c r="A468" s="16" t="inlineStr">
        <is>
          <t>5.29-6.4</t>
        </is>
      </c>
      <c r="B468" s="16" t="inlineStr">
        <is>
          <t>PO-128-02630478285430160</t>
        </is>
      </c>
      <c r="C468" s="16" t="inlineStr">
        <is>
          <t>Shipped</t>
        </is>
      </c>
      <c r="D468" s="16" t="inlineStr">
        <is>
          <t>128-02630436342390160</t>
        </is>
      </c>
      <c r="E468" s="16" t="inlineStr">
        <is>
          <t>Shipped</t>
        </is>
      </c>
      <c r="F468" s="16" t="inlineStr">
        <is>
          <t>A500-N</t>
        </is>
      </c>
      <c r="G468" s="16" t="inlineStr">
        <is>
          <t>Bocina Bluetooth Portátil Barra de Sonido, Inalámbrica con FM Radio, TWS, USB/TF, Graves Potentes para Hogar y Exteriores</t>
        </is>
      </c>
      <c r="H468" s="16" t="inlineStr">
        <is>
          <t>NEGRO</t>
        </is>
      </c>
      <c r="I468" s="16" t="n">
        <v>1</v>
      </c>
      <c r="J468" s="17" t="n">
        <v>78</v>
      </c>
      <c r="K468" s="17" t="n">
        <v>88.56999999999999</v>
      </c>
      <c r="L468" s="17" t="n">
        <v>25.86</v>
      </c>
      <c r="M468" s="17" t="n">
        <v>0</v>
      </c>
      <c r="N468" s="17">
        <f>K468*0.08+L468*0.08</f>
        <v/>
      </c>
      <c r="O468" s="17">
        <f>-(K468*0.025+L468*0.025)</f>
        <v/>
      </c>
      <c r="P468" s="17">
        <f>32</f>
        <v/>
      </c>
      <c r="Q468" s="17">
        <f>J468+L468+N468+O468-P468-M468</f>
        <v/>
      </c>
    </row>
    <row r="469">
      <c r="A469" s="16" t="inlineStr">
        <is>
          <t>5.29-6.4</t>
        </is>
      </c>
      <c r="B469" s="16" t="inlineStr">
        <is>
          <t>PO-128-02440603791991357</t>
        </is>
      </c>
      <c r="C469" s="16" t="inlineStr">
        <is>
          <t>Shipped</t>
        </is>
      </c>
      <c r="D469" s="16" t="inlineStr">
        <is>
          <t>128-02440607068791357</t>
        </is>
      </c>
      <c r="E469" s="16" t="inlineStr">
        <is>
          <t>Shipped</t>
        </is>
      </c>
      <c r="F469" s="16" t="inlineStr">
        <is>
          <t>A500-N</t>
        </is>
      </c>
      <c r="G469" s="16" t="inlineStr">
        <is>
          <t>Bocina Bluetooth Portátil Barra de Sonido, Inalámbrica con FM Radio, TWS, USB/TF, Graves Potentes para Hogar y Exteriores</t>
        </is>
      </c>
      <c r="H469" s="16" t="inlineStr">
        <is>
          <t>NEGRO</t>
        </is>
      </c>
      <c r="I469" s="16" t="n">
        <v>1</v>
      </c>
      <c r="J469" s="17" t="n">
        <v>78</v>
      </c>
      <c r="K469" s="17" t="n">
        <v>88.56999999999999</v>
      </c>
      <c r="L469" s="17" t="n">
        <v>25.86</v>
      </c>
      <c r="M469" s="17" t="n">
        <v>0</v>
      </c>
      <c r="N469" s="17">
        <f>K469*0.08+L469*0.08</f>
        <v/>
      </c>
      <c r="O469" s="17">
        <f>-(K469*0.025+L469*0.025)</f>
        <v/>
      </c>
      <c r="P469" s="17">
        <f>32</f>
        <v/>
      </c>
      <c r="Q469" s="17">
        <f>J469+L469+N469+O469-P469-M469</f>
        <v/>
      </c>
    </row>
    <row r="470">
      <c r="A470" s="16" t="inlineStr">
        <is>
          <t>5.29-6.4</t>
        </is>
      </c>
      <c r="B470" s="16" t="inlineStr">
        <is>
          <t>PO-128-21439162593913765</t>
        </is>
      </c>
      <c r="C470" s="16" t="inlineStr">
        <is>
          <t>Shipped</t>
        </is>
      </c>
      <c r="D470" s="16" t="inlineStr">
        <is>
          <t>128-21439215022713765</t>
        </is>
      </c>
      <c r="E470" s="16" t="inlineStr">
        <is>
          <t>Shipped</t>
        </is>
      </c>
      <c r="F470" s="16" t="inlineStr">
        <is>
          <t>A500-N</t>
        </is>
      </c>
      <c r="G470" s="16" t="inlineStr">
        <is>
          <t>Bocina Bluetooth Portátil Barra de Sonido, Inalámbrica con FM Radio, TWS, USB/TF, Graves Potentes para Hogar y Exteriores</t>
        </is>
      </c>
      <c r="H470" s="16" t="inlineStr">
        <is>
          <t>NEGRO</t>
        </is>
      </c>
      <c r="I470" s="16" t="n">
        <v>1</v>
      </c>
      <c r="J470" s="17" t="n">
        <v>78</v>
      </c>
      <c r="K470" s="17" t="n">
        <v>88.56999999999999</v>
      </c>
      <c r="L470" s="17" t="n">
        <v>25.86</v>
      </c>
      <c r="M470" s="17" t="n">
        <v>0</v>
      </c>
      <c r="N470" s="17">
        <f>K470*0.08+L470*0.08</f>
        <v/>
      </c>
      <c r="O470" s="17">
        <f>-(K470*0.025+L470*0.025)</f>
        <v/>
      </c>
      <c r="P470" s="17">
        <f>32</f>
        <v/>
      </c>
      <c r="Q470" s="17">
        <f>J470+L470+N470+O470-P470-M470</f>
        <v/>
      </c>
    </row>
    <row r="471">
      <c r="A471" s="16" t="inlineStr">
        <is>
          <t>5.29-6.4</t>
        </is>
      </c>
      <c r="B471" s="16" t="inlineStr">
        <is>
          <t>PO-128-21662171428471474</t>
        </is>
      </c>
      <c r="C471" s="16" t="inlineStr">
        <is>
          <t>Shipped</t>
        </is>
      </c>
      <c r="D471" s="16" t="inlineStr">
        <is>
          <t>128-21662223857271474</t>
        </is>
      </c>
      <c r="E471" s="16" t="inlineStr">
        <is>
          <t>Shipped</t>
        </is>
      </c>
      <c r="F471" s="16" t="inlineStr">
        <is>
          <t>MB-183B</t>
        </is>
      </c>
      <c r="G471" s="16" t="inlineStr">
        <is>
          <t>Linkbits Altavoz Bluetooth Portátil con Stereo Inalámbrico TWS Impermeable y a Prueba de Polvo IP65 Altavoz de Graves de Rango Completo de 52mm con Doble Unidad Ligero de 215g para Camping Senderismo y Fiestas al Aire Libre</t>
        </is>
      </c>
      <c r="H471" s="16" t="inlineStr">
        <is>
          <t>AZUL/MB-183</t>
        </is>
      </c>
      <c r="I471" s="16" t="n">
        <v>1</v>
      </c>
      <c r="J471" s="17" t="n">
        <v>70</v>
      </c>
      <c r="K471" s="17" t="n">
        <v>87.38</v>
      </c>
      <c r="L471" s="17" t="n">
        <v>25.86</v>
      </c>
      <c r="M471" s="17" t="n">
        <v>0</v>
      </c>
      <c r="N471" s="17">
        <f>K471*0.08+L471*0.08</f>
        <v/>
      </c>
      <c r="O471" s="17">
        <f>-(K471*0.025+L471*0.025)</f>
        <v/>
      </c>
      <c r="P471" s="17">
        <f>32</f>
        <v/>
      </c>
      <c r="Q471" s="17">
        <f>J471+L471+N471+O471-P471-M471</f>
        <v/>
      </c>
    </row>
    <row r="472">
      <c r="A472" s="16" t="inlineStr">
        <is>
          <t>5.29-6.4</t>
        </is>
      </c>
      <c r="B472" s="16" t="inlineStr">
        <is>
          <t>PO-128-21319234335353582</t>
        </is>
      </c>
      <c r="C472" s="16" t="inlineStr">
        <is>
          <t>Shipped</t>
        </is>
      </c>
      <c r="D472" s="16" t="inlineStr">
        <is>
          <t>128-21319302492793582</t>
        </is>
      </c>
      <c r="E472" s="16" t="inlineStr">
        <is>
          <t>Shipped</t>
        </is>
      </c>
      <c r="F472" s="16" t="inlineStr">
        <is>
          <t>A500-N</t>
        </is>
      </c>
      <c r="G472" s="16" t="inlineStr">
        <is>
          <t>Bocina Bluetooth Portátil Barra de Sonido, Inalámbrica con FM Radio, TWS, USB/TF, Graves Potentes para Hogar y Exteriores</t>
        </is>
      </c>
      <c r="H472" s="16" t="inlineStr">
        <is>
          <t>NEGRO</t>
        </is>
      </c>
      <c r="I472" s="16" t="n">
        <v>1</v>
      </c>
      <c r="J472" s="17" t="n">
        <v>78</v>
      </c>
      <c r="K472" s="17" t="n">
        <v>88.56999999999999</v>
      </c>
      <c r="L472" s="17" t="n">
        <v>25.86</v>
      </c>
      <c r="M472" s="17" t="n">
        <v>0</v>
      </c>
      <c r="N472" s="17">
        <f>K472*0.08+L472*0.08</f>
        <v/>
      </c>
      <c r="O472" s="17">
        <f>-(K472*0.025+L472*0.025)</f>
        <v/>
      </c>
      <c r="P472" s="17">
        <f>32</f>
        <v/>
      </c>
      <c r="Q472" s="17">
        <f>J472+L472+N472+O472-P472-M472</f>
        <v/>
      </c>
    </row>
    <row r="473">
      <c r="A473" s="16" t="inlineStr">
        <is>
          <t>5.29-6.4</t>
        </is>
      </c>
      <c r="B473" s="16" t="inlineStr">
        <is>
          <t>PO-128-21797779477111562</t>
        </is>
      </c>
      <c r="C473" s="16" t="inlineStr">
        <is>
          <t>Shipped</t>
        </is>
      </c>
      <c r="D473" s="16" t="inlineStr">
        <is>
          <t>128-21797796516471562</t>
        </is>
      </c>
      <c r="E473" s="16" t="inlineStr">
        <is>
          <t>Shipped</t>
        </is>
      </c>
      <c r="F473" s="16" t="inlineStr">
        <is>
          <t>A500-N</t>
        </is>
      </c>
      <c r="G473" s="16" t="inlineStr">
        <is>
          <t>Bocina Bluetooth Portátil Barra de Sonido, Inalámbrica con FM Radio, TWS, USB/TF, Graves Potentes para Hogar y Exteriores</t>
        </is>
      </c>
      <c r="H473" s="16" t="inlineStr">
        <is>
          <t>NEGRO</t>
        </is>
      </c>
      <c r="I473" s="16" t="n">
        <v>1</v>
      </c>
      <c r="J473" s="17" t="n">
        <v>78</v>
      </c>
      <c r="K473" s="17" t="n">
        <v>88.56999999999999</v>
      </c>
      <c r="L473" s="17" t="n">
        <v>25.86</v>
      </c>
      <c r="M473" s="17" t="n">
        <v>0</v>
      </c>
      <c r="N473" s="17">
        <f>K473*0.08+L473*0.08</f>
        <v/>
      </c>
      <c r="O473" s="17">
        <f>-(K473*0.025+L473*0.025)</f>
        <v/>
      </c>
      <c r="P473" s="17">
        <f>32</f>
        <v/>
      </c>
      <c r="Q473" s="17">
        <f>J473+L473+N473+O473-P473-M473</f>
        <v/>
      </c>
    </row>
    <row r="474">
      <c r="A474" s="16" t="inlineStr">
        <is>
          <t>5.29-6.4</t>
        </is>
      </c>
      <c r="B474" s="16" t="inlineStr">
        <is>
          <t>PO-128-21679426663031373</t>
        </is>
      </c>
      <c r="C474" s="16" t="inlineStr">
        <is>
          <t>Shipped</t>
        </is>
      </c>
      <c r="D474" s="16" t="inlineStr">
        <is>
          <t>128-21679405691511373</t>
        </is>
      </c>
      <c r="E474" s="16" t="inlineStr">
        <is>
          <t>Shipped</t>
        </is>
      </c>
      <c r="F474" s="16" t="inlineStr">
        <is>
          <t>A500-N</t>
        </is>
      </c>
      <c r="G474" s="16" t="inlineStr">
        <is>
          <t>Bocina Bluetooth Portátil Barra de Sonido, Inalámbrica con FM Radio, TWS, USB/TF, Graves Potentes para Hogar y Exteriores</t>
        </is>
      </c>
      <c r="H474" s="16" t="inlineStr">
        <is>
          <t>NEGRO</t>
        </is>
      </c>
      <c r="I474" s="16" t="n">
        <v>1</v>
      </c>
      <c r="J474" s="17" t="n">
        <v>78</v>
      </c>
      <c r="K474" s="17" t="n">
        <v>88.56999999999999</v>
      </c>
      <c r="L474" s="17" t="n">
        <v>25.86</v>
      </c>
      <c r="M474" s="17" t="n">
        <v>0</v>
      </c>
      <c r="N474" s="17">
        <f>K474*0.08+L474*0.08</f>
        <v/>
      </c>
      <c r="O474" s="17">
        <f>-(K474*0.025+L474*0.025)</f>
        <v/>
      </c>
      <c r="P474" s="17">
        <f>32</f>
        <v/>
      </c>
      <c r="Q474" s="17">
        <f>J474+L474+N474+O474-P474-M474</f>
        <v/>
      </c>
    </row>
    <row r="475">
      <c r="A475" s="16" t="inlineStr">
        <is>
          <t>5.29-6.4</t>
        </is>
      </c>
      <c r="B475" s="16" t="inlineStr">
        <is>
          <t>PO-128-21986163958390633</t>
        </is>
      </c>
      <c r="C475" s="16" t="inlineStr">
        <is>
          <t>Shipped</t>
        </is>
      </c>
      <c r="D475" s="16" t="inlineStr">
        <is>
          <t>128-21986142986870633</t>
        </is>
      </c>
      <c r="E475" s="16" t="inlineStr">
        <is>
          <t>Shipped</t>
        </is>
      </c>
      <c r="F475" s="16" t="inlineStr">
        <is>
          <t>SA320T-P</t>
        </is>
      </c>
      <c r="G475" s="16" t="inlineStr">
        <is>
          <t>Altavoz inalámbrico portátil con Luces RGB, Radio FM y Manija - 5h Duración, TWS, TF Card, Compacto y Recargable via USB，Perfecto para viajes, fiestas y gaming</t>
        </is>
      </c>
      <c r="H475" s="16" t="inlineStr">
        <is>
          <t>rosa</t>
        </is>
      </c>
      <c r="I475" s="16" t="n">
        <v>1</v>
      </c>
      <c r="J475" s="17" t="n">
        <v>57</v>
      </c>
      <c r="K475" s="17" t="n">
        <v>67.72</v>
      </c>
      <c r="L475" s="17" t="n">
        <v>25.86</v>
      </c>
      <c r="M475" s="17" t="n">
        <v>0</v>
      </c>
      <c r="N475" s="17">
        <f>K475*0.08+L475*0.08</f>
        <v/>
      </c>
      <c r="O475" s="17">
        <f>-(K475*0.025+L475*0.025)</f>
        <v/>
      </c>
      <c r="P475" s="17">
        <f>32</f>
        <v/>
      </c>
      <c r="Q475" s="17">
        <f>J475+L475+N475+O475-P475-M475</f>
        <v/>
      </c>
    </row>
    <row r="476">
      <c r="A476" s="16" t="inlineStr">
        <is>
          <t>5.29-6.4</t>
        </is>
      </c>
      <c r="B476" s="16" t="inlineStr">
        <is>
          <t>PO-128-21364627420793313</t>
        </is>
      </c>
      <c r="C476" s="16" t="inlineStr">
        <is>
          <t>Shipped</t>
        </is>
      </c>
      <c r="D476" s="16" t="inlineStr">
        <is>
          <t>128-21364637906553313</t>
        </is>
      </c>
      <c r="E476" s="16" t="inlineStr">
        <is>
          <t>Shipped</t>
        </is>
      </c>
      <c r="F476" s="16" t="inlineStr">
        <is>
          <t>A500-N</t>
        </is>
      </c>
      <c r="G476" s="16" t="inlineStr">
        <is>
          <t>Bocina Bluetooth Portátil Barra de Sonido, Inalámbrica con FM Radio, TWS, USB/TF, Graves Potentes para Hogar y Exteriores</t>
        </is>
      </c>
      <c r="H476" s="16" t="inlineStr">
        <is>
          <t>NEGRO</t>
        </is>
      </c>
      <c r="I476" s="16" t="n">
        <v>1</v>
      </c>
      <c r="J476" s="17" t="n">
        <v>78</v>
      </c>
      <c r="K476" s="17" t="n">
        <v>88.56999999999999</v>
      </c>
      <c r="L476" s="17" t="n">
        <v>25.86</v>
      </c>
      <c r="M476" s="17" t="n">
        <v>0</v>
      </c>
      <c r="N476" s="17">
        <f>K476*0.08+L476*0.08</f>
        <v/>
      </c>
      <c r="O476" s="17">
        <f>-(K476*0.025+L476*0.025)</f>
        <v/>
      </c>
      <c r="P476" s="17">
        <f>32</f>
        <v/>
      </c>
      <c r="Q476" s="17">
        <f>J476+L476+N476+O476-P476-M476</f>
        <v/>
      </c>
    </row>
    <row r="477">
      <c r="A477" s="16" t="inlineStr">
        <is>
          <t>5.29-6.4</t>
        </is>
      </c>
      <c r="B477" s="16" t="inlineStr">
        <is>
          <t>PO-128-10938696960630817</t>
        </is>
      </c>
      <c r="C477" s="16" t="inlineStr">
        <is>
          <t>Shipped</t>
        </is>
      </c>
      <c r="D477" s="16" t="inlineStr">
        <is>
          <t>128-10938717932150817</t>
        </is>
      </c>
      <c r="E477" s="16" t="inlineStr">
        <is>
          <t>Shipped</t>
        </is>
      </c>
      <c r="F477" s="16" t="inlineStr">
        <is>
          <t>A500-A</t>
        </is>
      </c>
      <c r="G477" s="16" t="inlineStr">
        <is>
          <t>Bocina Bluetooth Portátil Barra de Sonido, Inalámbrica con FM Radio, TWS, USB/TF, Graves Potentes para Hogar y Exteriores</t>
        </is>
      </c>
      <c r="H477" s="16" t="inlineStr">
        <is>
          <t>AZUL</t>
        </is>
      </c>
      <c r="I477" s="16" t="n">
        <v>1</v>
      </c>
      <c r="J477" s="17" t="n">
        <v>74.81</v>
      </c>
      <c r="K477" s="17" t="n">
        <v>84.76000000000001</v>
      </c>
      <c r="L477" s="17" t="n">
        <v>25.86</v>
      </c>
      <c r="M477" s="17" t="n">
        <v>0</v>
      </c>
      <c r="N477" s="17">
        <f>K477*0.08+L477*0.08</f>
        <v/>
      </c>
      <c r="O477" s="17">
        <f>-(K477*0.025+L477*0.025)</f>
        <v/>
      </c>
      <c r="P477" s="17">
        <f>32</f>
        <v/>
      </c>
      <c r="Q477" s="17">
        <f>J477+L477+N477+O477-P477-M477</f>
        <v/>
      </c>
    </row>
    <row r="478">
      <c r="A478" s="16" t="inlineStr">
        <is>
          <t>5.29-6.4</t>
        </is>
      </c>
      <c r="B478" s="16" t="inlineStr">
        <is>
          <t>PO-128-10509481073272351</t>
        </is>
      </c>
      <c r="C478" s="16" t="inlineStr">
        <is>
          <t>Shipped</t>
        </is>
      </c>
      <c r="D478" s="16" t="inlineStr">
        <is>
          <t>128-10509460101752351</t>
        </is>
      </c>
      <c r="E478" s="16" t="inlineStr">
        <is>
          <t>Shipped</t>
        </is>
      </c>
      <c r="F478" s="16" t="inlineStr">
        <is>
          <t>A500-N</t>
        </is>
      </c>
      <c r="G478" s="16" t="inlineStr">
        <is>
          <t>Bocina Bluetooth Portátil Barra de Sonido, Inalámbrica con FM Radio, TWS, USB/TF, Graves Potentes para Hogar y Exteriores</t>
        </is>
      </c>
      <c r="H478" s="16" t="inlineStr">
        <is>
          <t>NEGRO</t>
        </is>
      </c>
      <c r="I478" s="16" t="n">
        <v>1</v>
      </c>
      <c r="J478" s="17" t="n">
        <v>79.81999999999999</v>
      </c>
      <c r="K478" s="17" t="n">
        <v>90.40000000000001</v>
      </c>
      <c r="L478" s="17" t="n">
        <v>25.86</v>
      </c>
      <c r="M478" s="17" t="n">
        <v>0</v>
      </c>
      <c r="N478" s="17">
        <f>K478*0.08+L478*0.08</f>
        <v/>
      </c>
      <c r="O478" s="17">
        <f>-(K478*0.025+L478*0.025)</f>
        <v/>
      </c>
      <c r="P478" s="17">
        <f>32</f>
        <v/>
      </c>
      <c r="Q478" s="17">
        <f>J478+L478+N478+O478-P478-M478</f>
        <v/>
      </c>
    </row>
    <row r="479">
      <c r="A479" s="16" t="inlineStr">
        <is>
          <t>5.29-6.4</t>
        </is>
      </c>
      <c r="B479" s="16" t="inlineStr">
        <is>
          <t>PO-128-18971416207991064</t>
        </is>
      </c>
      <c r="C479" s="16" t="inlineStr">
        <is>
          <t>Delivered</t>
        </is>
      </c>
      <c r="D479" s="16" t="inlineStr">
        <is>
          <t>128-18971458151031064</t>
        </is>
      </c>
      <c r="E479" s="16" t="inlineStr">
        <is>
          <t>Delivered</t>
        </is>
      </c>
      <c r="F479" s="16" t="inlineStr">
        <is>
          <t>SA320T-R</t>
        </is>
      </c>
      <c r="G479" s="16" t="inlineStr">
        <is>
          <t>Altavoz inalámbrico portátil con Luces RGB, Radio FM y Manija - 5h Duración, TWS, TF Card, Compacto y Recargable via USB，Perfecto para viajes, fiestas y gaming</t>
        </is>
      </c>
      <c r="H479" s="16" t="inlineStr">
        <is>
          <t>rojo</t>
        </is>
      </c>
      <c r="I479" s="16" t="n">
        <v>1</v>
      </c>
      <c r="J479" s="17" t="n">
        <v>56</v>
      </c>
      <c r="K479" s="17" t="n">
        <v>15</v>
      </c>
      <c r="L479" s="17" t="n">
        <v>25.86</v>
      </c>
      <c r="M479" s="17" t="n">
        <v>0</v>
      </c>
      <c r="N479" s="17">
        <f>K479*0.08+L479*0.08</f>
        <v/>
      </c>
      <c r="O479" s="17">
        <f>-(K479*0.025+L479*0.025)</f>
        <v/>
      </c>
      <c r="P479" s="17">
        <f>32</f>
        <v/>
      </c>
      <c r="Q479" s="17">
        <f>J479+L479+N479+O479-P479-M479</f>
        <v/>
      </c>
    </row>
    <row r="480">
      <c r="A480" s="16" t="inlineStr">
        <is>
          <t>5.29-6.4</t>
        </is>
      </c>
      <c r="B480" s="16" t="inlineStr">
        <is>
          <t>PO-128-07925330934391304</t>
        </is>
      </c>
      <c r="C480" s="16" t="inlineStr">
        <is>
          <t>Delivered</t>
        </is>
      </c>
      <c r="D480" s="16" t="inlineStr">
        <is>
          <t>128-07925291612791304</t>
        </is>
      </c>
      <c r="E480" s="16" t="inlineStr">
        <is>
          <t>Delivered</t>
        </is>
      </c>
      <c r="F480" s="16" t="inlineStr">
        <is>
          <t>MB-185A</t>
        </is>
      </c>
      <c r="G480" s="16" t="inlineStr">
        <is>
          <t>Bocina Radio FM/Reproductor, Compatible con Tarjeta TF, USB, Bluetooth, Aplicable para celular, computadora, Ipad y consola</t>
        </is>
      </c>
      <c r="H480" s="16" t="inlineStr">
        <is>
          <t>AZUL/MB-185</t>
        </is>
      </c>
      <c r="I480" s="16" t="n">
        <v>1</v>
      </c>
      <c r="J480" s="17" t="n">
        <v>75</v>
      </c>
      <c r="K480" s="17" t="n">
        <v>87.94</v>
      </c>
      <c r="L480" s="17" t="n">
        <v>25.86</v>
      </c>
      <c r="M480" s="17" t="n">
        <v>0</v>
      </c>
      <c r="N480" s="17">
        <f>K480*0.08+L480*0.08</f>
        <v/>
      </c>
      <c r="O480" s="17">
        <f>-(K480*0.025+L480*0.025)</f>
        <v/>
      </c>
      <c r="P480" s="17">
        <f>32</f>
        <v/>
      </c>
      <c r="Q480" s="17">
        <f>J480+L480+N480+O480-P480-M480</f>
        <v/>
      </c>
    </row>
    <row r="481">
      <c r="A481" s="16" t="inlineStr">
        <is>
          <t>5.29-6.4</t>
        </is>
      </c>
      <c r="B481" s="16" t="inlineStr">
        <is>
          <t>PO-128-07870094910072723</t>
        </is>
      </c>
      <c r="C481" s="16" t="inlineStr">
        <is>
          <t>Delivered</t>
        </is>
      </c>
      <c r="D481" s="16" t="inlineStr">
        <is>
          <t>128-07870073938552723</t>
        </is>
      </c>
      <c r="E481" s="16" t="inlineStr">
        <is>
          <t>Delivered</t>
        </is>
      </c>
      <c r="F481" s="16" t="inlineStr">
        <is>
          <t>A500-R</t>
        </is>
      </c>
      <c r="G481" s="16" t="inlineStr">
        <is>
          <t>Bocina Bluetooth Portátil Barra de Sonido, Inalámbrica con FM Radio, TWS, USB/TF, Graves Potentes para Hogar y Exteriores</t>
        </is>
      </c>
      <c r="H481" s="16" t="inlineStr">
        <is>
          <t>ROIO</t>
        </is>
      </c>
      <c r="I481" s="16" t="n">
        <v>1</v>
      </c>
      <c r="J481" s="17" t="n">
        <v>78.97</v>
      </c>
      <c r="K481" s="17" t="n">
        <v>88.92</v>
      </c>
      <c r="L481" s="17" t="n">
        <v>0</v>
      </c>
      <c r="M481" s="17" t="n">
        <v>0</v>
      </c>
      <c r="N481" s="17">
        <f>K481*0.08+L481*0.08</f>
        <v/>
      </c>
      <c r="O481" s="17">
        <f>-(K481*0.025+L481*0.025)</f>
        <v/>
      </c>
      <c r="P481" s="17">
        <f>32</f>
        <v/>
      </c>
      <c r="Q481" s="17">
        <f>J481+L481+N481+O481-P481-M481</f>
        <v/>
      </c>
    </row>
    <row r="482">
      <c r="A482" s="16" t="inlineStr">
        <is>
          <t>5.29-6.4</t>
        </is>
      </c>
      <c r="B482" s="16" t="inlineStr">
        <is>
          <t>PO-128-07870094910072723</t>
        </is>
      </c>
      <c r="C482" s="16" t="inlineStr">
        <is>
          <t>Delivered</t>
        </is>
      </c>
      <c r="D482" s="16" t="inlineStr">
        <is>
          <t>128-07870115881592723</t>
        </is>
      </c>
      <c r="E482" s="16" t="inlineStr">
        <is>
          <t>Delivered</t>
        </is>
      </c>
      <c r="F482" s="16" t="inlineStr">
        <is>
          <t>A500-N</t>
        </is>
      </c>
      <c r="G482" s="16" t="inlineStr">
        <is>
          <t>Bocina Bluetooth Portátil Barra de Sonido, Inalámbrica con FM Radio, TWS, USB/TF, Graves Potentes para Hogar y Exteriores</t>
        </is>
      </c>
      <c r="H482" s="16" t="inlineStr">
        <is>
          <t>NEGRO</t>
        </is>
      </c>
      <c r="I482" s="16" t="n">
        <v>2</v>
      </c>
      <c r="J482" s="17" t="n">
        <v>159.64</v>
      </c>
      <c r="K482" s="17" t="n">
        <v>180.8</v>
      </c>
      <c r="L482" s="17" t="n">
        <v>0</v>
      </c>
      <c r="M482" s="17" t="n">
        <v>0</v>
      </c>
      <c r="N482" s="17">
        <f>K482*0.08+L482*0.08</f>
        <v/>
      </c>
      <c r="O482" s="17">
        <f>-(K482*0.025+L482*0.025)</f>
        <v/>
      </c>
      <c r="P482" s="17">
        <f>32</f>
        <v/>
      </c>
      <c r="Q482" s="17">
        <f>J482+L482+N482+O482-P482-M482</f>
        <v/>
      </c>
    </row>
    <row r="483">
      <c r="A483" s="16" t="inlineStr">
        <is>
          <t>5.29-6.4</t>
        </is>
      </c>
      <c r="B483" s="16" t="inlineStr">
        <is>
          <t>PO-128-07870094910072723</t>
        </is>
      </c>
      <c r="C483" s="16" t="inlineStr">
        <is>
          <t>Delivered</t>
        </is>
      </c>
      <c r="D483" s="16" t="inlineStr">
        <is>
          <t>128-07870052967032723</t>
        </is>
      </c>
      <c r="E483" s="16" t="inlineStr">
        <is>
          <t>Delivered</t>
        </is>
      </c>
      <c r="F483" s="16" t="inlineStr">
        <is>
          <t>A500-A</t>
        </is>
      </c>
      <c r="G483" s="16" t="inlineStr">
        <is>
          <t>Bocina Bluetooth Portátil Barra de Sonido, Inalámbrica con FM Radio, TWS, USB/TF, Graves Potentes para Hogar y Exteriores</t>
        </is>
      </c>
      <c r="H483" s="16" t="inlineStr">
        <is>
          <t>AZUL</t>
        </is>
      </c>
      <c r="I483" s="16" t="n">
        <v>1</v>
      </c>
      <c r="J483" s="17" t="n">
        <v>74.81</v>
      </c>
      <c r="K483" s="17" t="n">
        <v>84.76000000000001</v>
      </c>
      <c r="L483" s="17" t="n">
        <v>0</v>
      </c>
      <c r="M483" s="17" t="n">
        <v>0</v>
      </c>
      <c r="N483" s="17">
        <f>K483*0.08+L483*0.08</f>
        <v/>
      </c>
      <c r="O483" s="17">
        <f>-(K483*0.025+L483*0.025)</f>
        <v/>
      </c>
      <c r="P483" s="17">
        <f>32</f>
        <v/>
      </c>
      <c r="Q483" s="17">
        <f>J483+L483+N483+O483-P483-M483</f>
        <v/>
      </c>
    </row>
    <row r="484">
      <c r="A484" s="16" t="inlineStr">
        <is>
          <t>5.29-6.4</t>
        </is>
      </c>
      <c r="B484" s="16" t="inlineStr">
        <is>
          <t>PO-128-07806792039032138</t>
        </is>
      </c>
      <c r="C484" s="16" t="inlineStr">
        <is>
          <t>Delivered</t>
        </is>
      </c>
      <c r="D484" s="16" t="inlineStr">
        <is>
          <t>128-07806928353912138</t>
        </is>
      </c>
      <c r="E484" s="16" t="inlineStr">
        <is>
          <t>Delivered</t>
        </is>
      </c>
      <c r="F484" s="16" t="inlineStr">
        <is>
          <t>SA320T-A</t>
        </is>
      </c>
      <c r="G484" s="16" t="inlineStr">
        <is>
          <t>Altavoz inalámbrico portátil con Luces RGB, Radio FM y Manija - 5h Duración, TWS, TF Card, Compacto y Recargable via USB，Perfecto para viajes, fiestas y gaming</t>
        </is>
      </c>
      <c r="H484" s="16" t="inlineStr">
        <is>
          <t>azul</t>
        </is>
      </c>
      <c r="I484" s="16" t="n">
        <v>1</v>
      </c>
      <c r="J484" s="17" t="n">
        <v>51</v>
      </c>
      <c r="K484" s="17" t="n">
        <v>8.27</v>
      </c>
      <c r="L484" s="17" t="n">
        <v>25.86</v>
      </c>
      <c r="M484" s="17" t="n">
        <v>0</v>
      </c>
      <c r="N484" s="17">
        <f>K484*0.08+L484*0.08</f>
        <v/>
      </c>
      <c r="O484" s="17">
        <f>-(K484*0.025+L484*0.025)</f>
        <v/>
      </c>
      <c r="P484" s="17">
        <f>32</f>
        <v/>
      </c>
      <c r="Q484" s="17">
        <f>J484+L484+N484+O484-P484-M484</f>
        <v/>
      </c>
    </row>
    <row r="485">
      <c r="A485" s="16" t="inlineStr">
        <is>
          <t>5.29-6.4</t>
        </is>
      </c>
      <c r="B485" s="16" t="inlineStr">
        <is>
          <t>PO-128-13097521705593437</t>
        </is>
      </c>
      <c r="C485" s="16" t="inlineStr">
        <is>
          <t>Delivered</t>
        </is>
      </c>
      <c r="D485" s="16" t="inlineStr">
        <is>
          <t>128-13097532191353437</t>
        </is>
      </c>
      <c r="E485" s="16" t="inlineStr">
        <is>
          <t>Delivered</t>
        </is>
      </c>
      <c r="F485" s="16" t="inlineStr">
        <is>
          <t>A500-N</t>
        </is>
      </c>
      <c r="G485" s="16" t="inlineStr">
        <is>
          <t>Bocina Bluetooth Portátil Barra de Sonido, Inalámbrica con FM Radio, TWS, USB/TF, Graves Potentes para Hogar y Exteriores</t>
        </is>
      </c>
      <c r="H485" s="16" t="inlineStr">
        <is>
          <t>NEGRO</t>
        </is>
      </c>
      <c r="I485" s="16" t="n">
        <v>1</v>
      </c>
      <c r="J485" s="17" t="n">
        <v>79.81999999999999</v>
      </c>
      <c r="K485" s="17" t="n">
        <v>90.40000000000001</v>
      </c>
      <c r="L485" s="17" t="n">
        <v>25.86</v>
      </c>
      <c r="M485" s="17" t="n">
        <v>0</v>
      </c>
      <c r="N485" s="17">
        <f>K485*0.08+L485*0.08</f>
        <v/>
      </c>
      <c r="O485" s="17">
        <f>-(K485*0.025+L485*0.025)</f>
        <v/>
      </c>
      <c r="P485" s="17">
        <f>32</f>
        <v/>
      </c>
      <c r="Q485" s="17">
        <f>J485+L485+N485+O485-P485-M485</f>
        <v/>
      </c>
    </row>
    <row r="486">
      <c r="A486" s="16" t="inlineStr">
        <is>
          <t>5.29-6.4</t>
        </is>
      </c>
      <c r="B486" s="16" t="inlineStr">
        <is>
          <t>PO-128-13603496443510293</t>
        </is>
      </c>
      <c r="C486" s="16" t="inlineStr">
        <is>
          <t>Delivered</t>
        </is>
      </c>
      <c r="D486" s="16" t="inlineStr">
        <is>
          <t>128-13603517415030293</t>
        </is>
      </c>
      <c r="E486" s="16" t="inlineStr">
        <is>
          <t>Delivered</t>
        </is>
      </c>
      <c r="F486" s="16" t="inlineStr">
        <is>
          <t>A500-N</t>
        </is>
      </c>
      <c r="G486" s="16" t="inlineStr">
        <is>
          <t>Bocina Bluetooth Portátil Barra de Sonido, Inalámbrica con FM Radio, TWS, USB/TF, Graves Potentes para Hogar y Exteriores</t>
        </is>
      </c>
      <c r="H486" s="16" t="inlineStr">
        <is>
          <t>NEGRO</t>
        </is>
      </c>
      <c r="I486" s="16" t="n">
        <v>1</v>
      </c>
      <c r="J486" s="17" t="n">
        <v>79.81999999999999</v>
      </c>
      <c r="K486" s="17" t="n">
        <v>90.40000000000001</v>
      </c>
      <c r="L486" s="17" t="n">
        <v>25.86</v>
      </c>
      <c r="M486" s="17" t="n">
        <v>0</v>
      </c>
      <c r="N486" s="17">
        <f>K486*0.08+L486*0.08</f>
        <v/>
      </c>
      <c r="O486" s="17">
        <f>-(K486*0.025+L486*0.025)</f>
        <v/>
      </c>
      <c r="P486" s="17">
        <f>32</f>
        <v/>
      </c>
      <c r="Q486" s="17">
        <f>J486+L486+N486+O486-P486-M486</f>
        <v/>
      </c>
    </row>
    <row r="487">
      <c r="A487" s="16" t="inlineStr">
        <is>
          <t>5.29-6.4</t>
        </is>
      </c>
      <c r="B487" s="16" t="inlineStr">
        <is>
          <t>PO-128-13635636275830228</t>
        </is>
      </c>
      <c r="C487" s="16" t="inlineStr">
        <is>
          <t>Delivered</t>
        </is>
      </c>
      <c r="D487" s="16" t="inlineStr">
        <is>
          <t>128-13635657247350228</t>
        </is>
      </c>
      <c r="E487" s="16" t="inlineStr">
        <is>
          <t>Delivered</t>
        </is>
      </c>
      <c r="F487" s="16" t="inlineStr">
        <is>
          <t>A500-N</t>
        </is>
      </c>
      <c r="G487" s="16" t="inlineStr">
        <is>
          <t>Bocina Bluetooth Portátil Barra de Sonido, Inalámbrica con FM Radio, TWS, USB/TF, Graves Potentes para Hogar y Exteriores</t>
        </is>
      </c>
      <c r="H487" s="16" t="inlineStr">
        <is>
          <t>NEGRO</t>
        </is>
      </c>
      <c r="I487" s="16" t="n">
        <v>5</v>
      </c>
      <c r="J487" s="17" t="n">
        <v>399.1</v>
      </c>
      <c r="K487" s="17" t="n">
        <v>452</v>
      </c>
      <c r="L487" s="17" t="n">
        <v>0</v>
      </c>
      <c r="M487" s="17" t="n">
        <v>0</v>
      </c>
      <c r="N487" s="17">
        <f>K487*0.08+L487*0.08</f>
        <v/>
      </c>
      <c r="O487" s="17">
        <f>-(K487*0.025+L487*0.025)</f>
        <v/>
      </c>
      <c r="P487" s="17">
        <f>32</f>
        <v/>
      </c>
      <c r="Q487" s="17">
        <f>J487+L487+N487+O487-P487-M487</f>
        <v/>
      </c>
    </row>
    <row r="488">
      <c r="A488" s="16" t="inlineStr">
        <is>
          <t>5.29-6.4</t>
        </is>
      </c>
      <c r="B488" s="16" t="inlineStr">
        <is>
          <t>PO-128-13571665326711635</t>
        </is>
      </c>
      <c r="C488" s="16" t="inlineStr">
        <is>
          <t>Delivered</t>
        </is>
      </c>
      <c r="D488" s="16" t="inlineStr">
        <is>
          <t>128-13571670569591635</t>
        </is>
      </c>
      <c r="E488" s="16" t="inlineStr">
        <is>
          <t>Delivered</t>
        </is>
      </c>
      <c r="F488" s="16" t="inlineStr">
        <is>
          <t>A500-A</t>
        </is>
      </c>
      <c r="G488" s="16" t="inlineStr">
        <is>
          <t>Bocina Bluetooth Portátil Barra de Sonido, Inalámbrica con FM Radio, TWS, USB/TF, Graves Potentes para Hogar y Exteriores</t>
        </is>
      </c>
      <c r="H488" s="16" t="inlineStr">
        <is>
          <t>AZUL</t>
        </is>
      </c>
      <c r="I488" s="16" t="n">
        <v>1</v>
      </c>
      <c r="J488" s="17" t="n">
        <v>74.81</v>
      </c>
      <c r="K488" s="17" t="n">
        <v>84.76000000000001</v>
      </c>
      <c r="L488" s="17" t="n">
        <v>25.86</v>
      </c>
      <c r="M488" s="17" t="n">
        <v>0</v>
      </c>
      <c r="N488" s="17">
        <f>K488*0.08+L488*0.08</f>
        <v/>
      </c>
      <c r="O488" s="17">
        <f>-(K488*0.025+L488*0.025)</f>
        <v/>
      </c>
      <c r="P488" s="17">
        <f>32</f>
        <v/>
      </c>
      <c r="Q488" s="17">
        <f>J488+L488+N488+O488-P488-M488</f>
        <v/>
      </c>
    </row>
    <row r="489">
      <c r="A489" s="16" t="inlineStr">
        <is>
          <t>5.29-6.4</t>
        </is>
      </c>
      <c r="B489" s="16" t="inlineStr">
        <is>
          <t>PO-128-13288227359352298</t>
        </is>
      </c>
      <c r="C489" s="16" t="inlineStr">
        <is>
          <t>Delivered</t>
        </is>
      </c>
      <c r="D489" s="16" t="inlineStr">
        <is>
          <t>128-13288393165432298</t>
        </is>
      </c>
      <c r="E489" s="16" t="inlineStr">
        <is>
          <t>Delivered</t>
        </is>
      </c>
      <c r="F489" s="16" t="inlineStr">
        <is>
          <t>A500-A</t>
        </is>
      </c>
      <c r="G489" s="16" t="inlineStr">
        <is>
          <t>Bocina Bluetooth Portátil Barra de Sonido, Inalámbrica con FM Radio, TWS, USB/TF, Graves Potentes para Hogar y Exteriores</t>
        </is>
      </c>
      <c r="H489" s="16" t="inlineStr">
        <is>
          <t>AZUL</t>
        </is>
      </c>
      <c r="I489" s="16" t="n">
        <v>1</v>
      </c>
      <c r="J489" s="17" t="n">
        <v>74.81</v>
      </c>
      <c r="K489" s="17" t="n">
        <v>41.66</v>
      </c>
      <c r="L489" s="17" t="n">
        <v>25.86</v>
      </c>
      <c r="M489" s="17" t="n">
        <v>0</v>
      </c>
      <c r="N489" s="17">
        <f>K489*0.08+L489*0.08</f>
        <v/>
      </c>
      <c r="O489" s="17">
        <f>-(K489*0.025+L489*0.025)</f>
        <v/>
      </c>
      <c r="P489" s="17">
        <f>32</f>
        <v/>
      </c>
      <c r="Q489" s="17">
        <f>J489+L489+N489+O489-P489-M489</f>
        <v/>
      </c>
    </row>
    <row r="490">
      <c r="A490" s="16" t="inlineStr">
        <is>
          <t>5.29-6.4</t>
        </is>
      </c>
      <c r="B490" s="16" t="inlineStr">
        <is>
          <t>PO-128-13425587968631288</t>
        </is>
      </c>
      <c r="C490" s="16" t="inlineStr">
        <is>
          <t>Delivered</t>
        </is>
      </c>
      <c r="D490" s="16" t="inlineStr">
        <is>
          <t>128-13425608940151288</t>
        </is>
      </c>
      <c r="E490" s="16" t="inlineStr">
        <is>
          <t>Delivered</t>
        </is>
      </c>
      <c r="F490" s="16" t="inlineStr">
        <is>
          <t>A500-N</t>
        </is>
      </c>
      <c r="G490" s="16" t="inlineStr">
        <is>
          <t>Bocina Bluetooth Portátil Barra de Sonido, Inalámbrica con FM Radio, TWS, USB/TF, Graves Potentes para Hogar y Exteriores</t>
        </is>
      </c>
      <c r="H490" s="16" t="inlineStr">
        <is>
          <t>NEGRO</t>
        </is>
      </c>
      <c r="I490" s="16" t="n">
        <v>1</v>
      </c>
      <c r="J490" s="17" t="n">
        <v>79.81999999999999</v>
      </c>
      <c r="K490" s="17" t="n">
        <v>30.06</v>
      </c>
      <c r="L490" s="17" t="n">
        <v>25.86</v>
      </c>
      <c r="M490" s="17" t="n">
        <v>0</v>
      </c>
      <c r="N490" s="17">
        <f>K490*0.08+L490*0.08</f>
        <v/>
      </c>
      <c r="O490" s="17">
        <f>-(K490*0.025+L490*0.025)</f>
        <v/>
      </c>
      <c r="P490" s="17">
        <f>32</f>
        <v/>
      </c>
      <c r="Q490" s="17">
        <f>J490+L490+N490+O490-P490-M490</f>
        <v/>
      </c>
    </row>
    <row r="491">
      <c r="A491" s="16" t="inlineStr">
        <is>
          <t>5.29-6.4</t>
        </is>
      </c>
      <c r="B491" s="16" t="inlineStr">
        <is>
          <t>PO-128-13743756995190609</t>
        </is>
      </c>
      <c r="C491" s="16" t="inlineStr">
        <is>
          <t>Delivered</t>
        </is>
      </c>
      <c r="D491" s="16" t="inlineStr">
        <is>
          <t>128-13743861852790609</t>
        </is>
      </c>
      <c r="E491" s="16" t="inlineStr">
        <is>
          <t>Delivered</t>
        </is>
      </c>
      <c r="F491" s="16" t="inlineStr">
        <is>
          <t>A500-R</t>
        </is>
      </c>
      <c r="G491" s="16" t="inlineStr">
        <is>
          <t>Bocina Bluetooth Portátil Barra de Sonido, Inalámbrica con FM Radio, TWS, USB/TF, Graves Potentes para Hogar y Exteriores</t>
        </is>
      </c>
      <c r="H491" s="16" t="inlineStr">
        <is>
          <t>ROIO</t>
        </is>
      </c>
      <c r="I491" s="16" t="n">
        <v>1</v>
      </c>
      <c r="J491" s="17" t="n">
        <v>78</v>
      </c>
      <c r="K491" s="17" t="n">
        <v>5.6</v>
      </c>
      <c r="L491" s="17" t="n">
        <v>25.86</v>
      </c>
      <c r="M491" s="17" t="n">
        <v>0</v>
      </c>
      <c r="N491" s="17">
        <f>K491*0.08+L491*0.08</f>
        <v/>
      </c>
      <c r="O491" s="17">
        <f>-(K491*0.025+L491*0.025)</f>
        <v/>
      </c>
      <c r="P491" s="17">
        <f>32</f>
        <v/>
      </c>
      <c r="Q491" s="17">
        <f>J491+L491+N491+O491-P491-M491</f>
        <v/>
      </c>
    </row>
    <row r="492">
      <c r="A492" s="16" t="inlineStr">
        <is>
          <t>5.29-6.4</t>
        </is>
      </c>
      <c r="B492" s="16" t="inlineStr">
        <is>
          <t>PO-128-13569034593911651</t>
        </is>
      </c>
      <c r="C492" s="16" t="inlineStr">
        <is>
          <t>Delivered</t>
        </is>
      </c>
      <c r="D492" s="16" t="inlineStr">
        <is>
          <t>128-13569055565431651</t>
        </is>
      </c>
      <c r="E492" s="16" t="inlineStr">
        <is>
          <t>Delivered</t>
        </is>
      </c>
      <c r="F492" s="16" t="inlineStr">
        <is>
          <t>A500-N</t>
        </is>
      </c>
      <c r="G492" s="16" t="inlineStr">
        <is>
          <t>Bocina Bluetooth Portátil Barra de Sonido, Inalámbrica con FM Radio, TWS, USB/TF, Graves Potentes para Hogar y Exteriores</t>
        </is>
      </c>
      <c r="H492" s="16" t="inlineStr">
        <is>
          <t>NEGRO</t>
        </is>
      </c>
      <c r="I492" s="16" t="n">
        <v>1</v>
      </c>
      <c r="J492" s="17" t="n">
        <v>78</v>
      </c>
      <c r="K492" s="17" t="n">
        <v>88.56999999999999</v>
      </c>
      <c r="L492" s="17" t="n">
        <v>25.86</v>
      </c>
      <c r="M492" s="17" t="n">
        <v>0</v>
      </c>
      <c r="N492" s="17">
        <f>K492*0.08+L492*0.08</f>
        <v/>
      </c>
      <c r="O492" s="17">
        <f>-(K492*0.025+L492*0.025)</f>
        <v/>
      </c>
      <c r="P492" s="17">
        <f>32</f>
        <v/>
      </c>
      <c r="Q492" s="17">
        <f>J492+L492+N492+O492-P492-M492</f>
        <v/>
      </c>
    </row>
    <row r="493">
      <c r="A493" s="16" t="inlineStr">
        <is>
          <t>5.29-6.4</t>
        </is>
      </c>
      <c r="B493" s="16" t="inlineStr">
        <is>
          <t>PO-128-13595606272630274</t>
        </is>
      </c>
      <c r="C493" s="16" t="inlineStr">
        <is>
          <t>Delivered</t>
        </is>
      </c>
      <c r="D493" s="16" t="inlineStr">
        <is>
          <t>128-13595711130230274</t>
        </is>
      </c>
      <c r="E493" s="16" t="inlineStr">
        <is>
          <t>Delivered</t>
        </is>
      </c>
      <c r="F493" s="16" t="inlineStr">
        <is>
          <t>A500-N</t>
        </is>
      </c>
      <c r="G493" s="16" t="inlineStr">
        <is>
          <t>Bocina Bluetooth Portátil Barra de Sonido, Inalámbrica con FM Radio, TWS, USB/TF, Graves Potentes para Hogar y Exteriores</t>
        </is>
      </c>
      <c r="H493" s="16" t="inlineStr">
        <is>
          <t>NEGRO</t>
        </is>
      </c>
      <c r="I493" s="16" t="n">
        <v>1</v>
      </c>
      <c r="J493" s="17" t="n">
        <v>78</v>
      </c>
      <c r="K493" s="17" t="n">
        <v>88.56999999999999</v>
      </c>
      <c r="L493" s="17" t="n">
        <v>25.86</v>
      </c>
      <c r="M493" s="17" t="n">
        <v>0</v>
      </c>
      <c r="N493" s="17">
        <f>K493*0.08+L493*0.08</f>
        <v/>
      </c>
      <c r="O493" s="17">
        <f>-(K493*0.025+L493*0.025)</f>
        <v/>
      </c>
      <c r="P493" s="17">
        <f>32</f>
        <v/>
      </c>
      <c r="Q493" s="17">
        <f>J493+L493+N493+O493-P493-M493</f>
        <v/>
      </c>
    </row>
    <row r="494">
      <c r="A494" s="16" t="inlineStr">
        <is>
          <t>5.29-6.4</t>
        </is>
      </c>
      <c r="B494" s="16" t="inlineStr">
        <is>
          <t>PO-128-13087936205433364</t>
        </is>
      </c>
      <c r="C494" s="16" t="inlineStr">
        <is>
          <t>Delivered</t>
        </is>
      </c>
      <c r="D494" s="16" t="inlineStr">
        <is>
          <t>128-13087957176953364</t>
        </is>
      </c>
      <c r="E494" s="16" t="inlineStr">
        <is>
          <t>Delivered</t>
        </is>
      </c>
      <c r="F494" s="16" t="inlineStr">
        <is>
          <t>A500-N</t>
        </is>
      </c>
      <c r="G494" s="16" t="inlineStr">
        <is>
          <t>Bocina Bluetooth Portátil Barra de Sonido, Inalámbrica con FM Radio, TWS, USB/TF, Graves Potentes para Hogar y Exteriores</t>
        </is>
      </c>
      <c r="H494" s="16" t="inlineStr">
        <is>
          <t>NEGRO</t>
        </is>
      </c>
      <c r="I494" s="16" t="n">
        <v>1</v>
      </c>
      <c r="J494" s="17" t="n">
        <v>78</v>
      </c>
      <c r="K494" s="17" t="n">
        <v>88.56999999999999</v>
      </c>
      <c r="L494" s="17" t="n">
        <v>25.86</v>
      </c>
      <c r="M494" s="17" t="n">
        <v>0</v>
      </c>
      <c r="N494" s="17">
        <f>K494*0.08+L494*0.08</f>
        <v/>
      </c>
      <c r="O494" s="17">
        <f>-(K494*0.025+L494*0.025)</f>
        <v/>
      </c>
      <c r="P494" s="17">
        <f>32</f>
        <v/>
      </c>
      <c r="Q494" s="17">
        <f>J494+L494+N494+O494-P494-M494</f>
        <v/>
      </c>
    </row>
    <row r="495">
      <c r="A495" s="16" t="inlineStr">
        <is>
          <t>5.29-6.4</t>
        </is>
      </c>
      <c r="B495" s="16" t="inlineStr">
        <is>
          <t>PO-128-13191695227513770</t>
        </is>
      </c>
      <c r="C495" s="16" t="inlineStr">
        <is>
          <t>Delivered</t>
        </is>
      </c>
      <c r="D495" s="16" t="inlineStr">
        <is>
          <t>128-13191716199033770</t>
        </is>
      </c>
      <c r="E495" s="16" t="inlineStr">
        <is>
          <t>Delivered</t>
        </is>
      </c>
      <c r="F495" s="16" t="inlineStr">
        <is>
          <t>MB-185R</t>
        </is>
      </c>
      <c r="G495" s="16" t="inlineStr">
        <is>
          <t>Bocina Radio FM/Reproductor, Compatible con Tarjeta TF, USB, Bluetooth, Aplicable para celular, computadora, Ipad y consola</t>
        </is>
      </c>
      <c r="H495" s="16" t="inlineStr">
        <is>
          <t>ROJO/MB-185</t>
        </is>
      </c>
      <c r="I495" s="16" t="n">
        <v>1</v>
      </c>
      <c r="J495" s="17" t="n">
        <v>66</v>
      </c>
      <c r="K495" s="17" t="n">
        <v>78.94</v>
      </c>
      <c r="L495" s="17" t="n">
        <v>25.86</v>
      </c>
      <c r="M495" s="17" t="n">
        <v>0</v>
      </c>
      <c r="N495" s="17">
        <f>K495*0.08+L495*0.08</f>
        <v/>
      </c>
      <c r="O495" s="17">
        <f>-(K495*0.025+L495*0.025)</f>
        <v/>
      </c>
      <c r="P495" s="17">
        <f>32</f>
        <v/>
      </c>
      <c r="Q495" s="17">
        <f>J495+L495+N495+O495-P495-M495</f>
        <v/>
      </c>
    </row>
    <row r="496">
      <c r="A496" s="16" t="inlineStr">
        <is>
          <t>5.29-6.4</t>
        </is>
      </c>
      <c r="B496" s="16" t="inlineStr">
        <is>
          <t>PO-128-02442985992311407</t>
        </is>
      </c>
      <c r="C496" s="16" t="inlineStr">
        <is>
          <t>Delivered</t>
        </is>
      </c>
      <c r="D496" s="16" t="inlineStr">
        <is>
          <t>128-02443027935351407</t>
        </is>
      </c>
      <c r="E496" s="16" t="inlineStr">
        <is>
          <t>Delivered</t>
        </is>
      </c>
      <c r="F496" s="16" t="inlineStr">
        <is>
          <t>A500-N</t>
        </is>
      </c>
      <c r="G496" s="16" t="inlineStr">
        <is>
          <t>Bocina Bluetooth Portátil Barra de Sonido, Inalámbrica con FM Radio, TWS, USB/TF, Graves Potentes para Hogar y Exteriores</t>
        </is>
      </c>
      <c r="H496" s="16" t="inlineStr">
        <is>
          <t>NEGRO</t>
        </is>
      </c>
      <c r="I496" s="16" t="n">
        <v>1</v>
      </c>
      <c r="J496" s="17" t="n">
        <v>78</v>
      </c>
      <c r="K496" s="17" t="n">
        <v>88.56999999999999</v>
      </c>
      <c r="L496" s="17" t="n">
        <v>25.86</v>
      </c>
      <c r="M496" s="17" t="n">
        <v>0</v>
      </c>
      <c r="N496" s="17">
        <f>K496*0.08+L496*0.08</f>
        <v/>
      </c>
      <c r="O496" s="17">
        <f>-(K496*0.025+L496*0.025)</f>
        <v/>
      </c>
      <c r="P496" s="17">
        <f>32</f>
        <v/>
      </c>
      <c r="Q496" s="17">
        <f>J496+L496+N496+O496-P496-M496</f>
        <v/>
      </c>
    </row>
    <row r="497">
      <c r="A497" s="16" t="inlineStr">
        <is>
          <t>5.29-6.4</t>
        </is>
      </c>
      <c r="B497" s="16" t="inlineStr">
        <is>
          <t>PO-128-02537289715831677</t>
        </is>
      </c>
      <c r="C497" s="16" t="inlineStr">
        <is>
          <t>Delivered</t>
        </is>
      </c>
      <c r="D497" s="16" t="inlineStr">
        <is>
          <t>128-02537268744311677</t>
        </is>
      </c>
      <c r="E497" s="16" t="inlineStr">
        <is>
          <t>Delivered</t>
        </is>
      </c>
      <c r="F497" s="16" t="inlineStr">
        <is>
          <t>SA320T-V</t>
        </is>
      </c>
      <c r="G497" s="16" t="inlineStr">
        <is>
          <t>Altavoz inalámbrico portátil con Luces RGB, Radio FM y Manija - 5h Duración, TWS, TF Card, Compacto y Recargable via USB，Perfecto para viajes, fiestas y gaming</t>
        </is>
      </c>
      <c r="H497" s="16" t="inlineStr">
        <is>
          <t>verde</t>
        </is>
      </c>
      <c r="I497" s="16" t="n">
        <v>3</v>
      </c>
      <c r="J497" s="17" t="n">
        <v>144</v>
      </c>
      <c r="K497" s="17" t="n">
        <v>245.91</v>
      </c>
      <c r="L497" s="17" t="n">
        <v>25.86</v>
      </c>
      <c r="M497" s="17" t="n">
        <v>0</v>
      </c>
      <c r="N497" s="17">
        <f>K497*0.08+L497*0.08</f>
        <v/>
      </c>
      <c r="O497" s="17">
        <f>-(K497*0.025+L497*0.025)</f>
        <v/>
      </c>
      <c r="P497" s="17">
        <f>32</f>
        <v/>
      </c>
      <c r="Q497" s="17">
        <f>J497+L497+N497+O497-P497-M497</f>
        <v/>
      </c>
    </row>
    <row r="498">
      <c r="A498" s="16" t="inlineStr">
        <is>
          <t>5.29-6.4</t>
        </is>
      </c>
      <c r="B498" s="16" t="inlineStr">
        <is>
          <t>PO-128-02737137877110548</t>
        </is>
      </c>
      <c r="C498" s="16" t="inlineStr">
        <is>
          <t>Delivered</t>
        </is>
      </c>
      <c r="D498" s="16" t="inlineStr">
        <is>
          <t>128-02737106419830548</t>
        </is>
      </c>
      <c r="E498" s="16" t="inlineStr">
        <is>
          <t>Delivered</t>
        </is>
      </c>
      <c r="F498" s="16" t="inlineStr">
        <is>
          <t>A500-A</t>
        </is>
      </c>
      <c r="G498" s="16" t="inlineStr">
        <is>
          <t>Bocina Bluetooth Portátil Barra de Sonido, Inalámbrica con FM Radio, TWS, USB/TF, Graves Potentes para Hogar y Exteriores</t>
        </is>
      </c>
      <c r="H498" s="16" t="inlineStr">
        <is>
          <t>AZUL</t>
        </is>
      </c>
      <c r="I498" s="16" t="n">
        <v>1</v>
      </c>
      <c r="J498" s="17" t="n">
        <v>72</v>
      </c>
      <c r="K498" s="17" t="n">
        <v>81.95</v>
      </c>
      <c r="L498" s="17" t="n">
        <v>25.86</v>
      </c>
      <c r="M498" s="17" t="n">
        <v>0</v>
      </c>
      <c r="N498" s="17">
        <f>K498*0.08+L498*0.08</f>
        <v/>
      </c>
      <c r="O498" s="17">
        <f>-(K498*0.025+L498*0.025)</f>
        <v/>
      </c>
      <c r="P498" s="17">
        <f>32</f>
        <v/>
      </c>
      <c r="Q498" s="17">
        <f>J498+L498+N498+O498-P498-M498</f>
        <v/>
      </c>
    </row>
    <row r="499">
      <c r="A499" s="16" t="inlineStr">
        <is>
          <t>5.29-6.4</t>
        </is>
      </c>
      <c r="B499" s="16" t="inlineStr">
        <is>
          <t>PO-128-02562951795831586</t>
        </is>
      </c>
      <c r="C499" s="16" t="inlineStr">
        <is>
          <t>Delivered</t>
        </is>
      </c>
      <c r="D499" s="16" t="inlineStr">
        <is>
          <t>128-02562993738871586</t>
        </is>
      </c>
      <c r="E499" s="16" t="inlineStr">
        <is>
          <t>Delivered</t>
        </is>
      </c>
      <c r="F499" s="16" t="inlineStr">
        <is>
          <t>A500-A</t>
        </is>
      </c>
      <c r="G499" s="16" t="inlineStr">
        <is>
          <t>Bocina Bluetooth Portátil Barra de Sonido, Inalámbrica con FM Radio, TWS, USB/TF, Graves Potentes para Hogar y Exteriores</t>
        </is>
      </c>
      <c r="H499" s="16" t="inlineStr">
        <is>
          <t>AZUL</t>
        </is>
      </c>
      <c r="I499" s="16" t="n">
        <v>1</v>
      </c>
      <c r="J499" s="17" t="n">
        <v>72</v>
      </c>
      <c r="K499" s="17" t="n">
        <v>21.61</v>
      </c>
      <c r="L499" s="17" t="n">
        <v>25.86</v>
      </c>
      <c r="M499" s="17" t="n">
        <v>0</v>
      </c>
      <c r="N499" s="17">
        <f>K499*0.08+L499*0.08</f>
        <v/>
      </c>
      <c r="O499" s="17">
        <f>-(K499*0.025+L499*0.025)</f>
        <v/>
      </c>
      <c r="P499" s="17">
        <f>32</f>
        <v/>
      </c>
      <c r="Q499" s="17">
        <f>J499+L499+N499+O499-P499-M499</f>
        <v/>
      </c>
    </row>
    <row r="500">
      <c r="A500" s="16" t="inlineStr">
        <is>
          <t>5.29-6.4</t>
        </is>
      </c>
      <c r="B500" s="16" t="inlineStr">
        <is>
          <t>PO-128-02478353600631066</t>
        </is>
      </c>
      <c r="C500" s="16" t="inlineStr">
        <is>
          <t>Delivered</t>
        </is>
      </c>
      <c r="D500" s="16" t="inlineStr">
        <is>
          <t>128-02478458458231066</t>
        </is>
      </c>
      <c r="E500" s="16" t="inlineStr">
        <is>
          <t>Delivered</t>
        </is>
      </c>
      <c r="F500" s="16" t="inlineStr">
        <is>
          <t>A500-A</t>
        </is>
      </c>
      <c r="G500" s="16" t="inlineStr">
        <is>
          <t>Bocina Bluetooth Portátil Barra de Sonido, Inalámbrica con FM Radio, TWS, USB/TF, Graves Potentes para Hogar y Exteriores</t>
        </is>
      </c>
      <c r="H500" s="16" t="inlineStr">
        <is>
          <t>AZUL</t>
        </is>
      </c>
      <c r="I500" s="16" t="n">
        <v>1</v>
      </c>
      <c r="J500" s="17" t="n">
        <v>72</v>
      </c>
      <c r="K500" s="17" t="n">
        <v>34.76</v>
      </c>
      <c r="L500" s="17" t="n">
        <v>25.86</v>
      </c>
      <c r="M500" s="17" t="n">
        <v>0</v>
      </c>
      <c r="N500" s="17">
        <f>K500*0.08+L500*0.08</f>
        <v/>
      </c>
      <c r="O500" s="17">
        <f>-(K500*0.025+L500*0.025)</f>
        <v/>
      </c>
      <c r="P500" s="17">
        <f>32</f>
        <v/>
      </c>
      <c r="Q500" s="17">
        <f>J500+L500+N500+O500-P500-M500</f>
        <v/>
      </c>
    </row>
    <row r="501">
      <c r="A501" s="16" t="inlineStr">
        <is>
          <t>5.29-6.4</t>
        </is>
      </c>
      <c r="B501" s="16" t="inlineStr">
        <is>
          <t>PO-128-02100414375033449</t>
        </is>
      </c>
      <c r="C501" s="16" t="inlineStr">
        <is>
          <t>Delivered</t>
        </is>
      </c>
      <c r="D501" s="16" t="inlineStr">
        <is>
          <t>128-02100435346553449</t>
        </is>
      </c>
      <c r="E501" s="16" t="inlineStr">
        <is>
          <t>Delivered</t>
        </is>
      </c>
      <c r="F501" s="16" t="inlineStr">
        <is>
          <t>A500-R</t>
        </is>
      </c>
      <c r="G501" s="16" t="inlineStr">
        <is>
          <t>Bocina Bluetooth Portátil Barra de Sonido, Inalámbrica con FM Radio, TWS, USB/TF, Graves Potentes para Hogar y Exteriores</t>
        </is>
      </c>
      <c r="H501" s="16" t="inlineStr">
        <is>
          <t>ROIO</t>
        </is>
      </c>
      <c r="I501" s="16" t="n">
        <v>1</v>
      </c>
      <c r="J501" s="17" t="n">
        <v>78</v>
      </c>
      <c r="K501" s="17" t="n">
        <v>88.36</v>
      </c>
      <c r="L501" s="17" t="n">
        <v>25.86</v>
      </c>
      <c r="M501" s="17" t="n">
        <v>0</v>
      </c>
      <c r="N501" s="17">
        <f>K501*0.08+L501*0.08</f>
        <v/>
      </c>
      <c r="O501" s="17">
        <f>-(K501*0.025+L501*0.025)</f>
        <v/>
      </c>
      <c r="P501" s="17">
        <f>32</f>
        <v/>
      </c>
      <c r="Q501" s="17">
        <f>J501+L501+N501+O501-P501-M501</f>
        <v/>
      </c>
    </row>
    <row r="502">
      <c r="A502" s="16" t="inlineStr">
        <is>
          <t>5.29-6.4</t>
        </is>
      </c>
      <c r="B502" s="16" t="inlineStr">
        <is>
          <t>PO-128-02399377006712627</t>
        </is>
      </c>
      <c r="C502" s="16" t="inlineStr">
        <is>
          <t>Delivered</t>
        </is>
      </c>
      <c r="D502" s="16" t="inlineStr">
        <is>
          <t>128-02399335063672627</t>
        </is>
      </c>
      <c r="E502" s="16" t="inlineStr">
        <is>
          <t>Delivered</t>
        </is>
      </c>
      <c r="F502" s="16" t="inlineStr">
        <is>
          <t>A500-N</t>
        </is>
      </c>
      <c r="G502" s="16" t="inlineStr">
        <is>
          <t>Bocina Bluetooth Portátil Barra de Sonido, Inalámbrica con FM Radio, TWS, USB/TF, Graves Potentes para Hogar y Exteriores</t>
        </is>
      </c>
      <c r="H502" s="16" t="inlineStr">
        <is>
          <t>NEGRO</t>
        </is>
      </c>
      <c r="I502" s="16" t="n">
        <v>1</v>
      </c>
      <c r="J502" s="17" t="n">
        <v>78</v>
      </c>
      <c r="K502" s="17" t="n">
        <v>75.29000000000001</v>
      </c>
      <c r="L502" s="17" t="n">
        <v>25.86</v>
      </c>
      <c r="M502" s="17" t="n">
        <v>0</v>
      </c>
      <c r="N502" s="17">
        <f>K502*0.08+L502*0.08</f>
        <v/>
      </c>
      <c r="O502" s="17">
        <f>-(K502*0.025+L502*0.025)</f>
        <v/>
      </c>
      <c r="P502" s="17">
        <f>32</f>
        <v/>
      </c>
      <c r="Q502" s="17">
        <f>J502+L502+N502+O502-P502-M502</f>
        <v/>
      </c>
    </row>
    <row r="503">
      <c r="A503" s="16" t="inlineStr">
        <is>
          <t>5.29-6.4</t>
        </is>
      </c>
      <c r="B503" s="16" t="inlineStr">
        <is>
          <t>PO-128-02286829432952208</t>
        </is>
      </c>
      <c r="C503" s="16" t="inlineStr">
        <is>
          <t>Delivered</t>
        </is>
      </c>
      <c r="D503" s="16" t="inlineStr">
        <is>
          <t>128-02286881861752208</t>
        </is>
      </c>
      <c r="E503" s="16" t="inlineStr">
        <is>
          <t>Delivered</t>
        </is>
      </c>
      <c r="F503" s="16" t="inlineStr">
        <is>
          <t>SA320T-R</t>
        </is>
      </c>
      <c r="G503" s="16" t="inlineStr">
        <is>
          <t>Altavoz inalámbrico portátil con Luces RGB, Radio FM y Manija - 5h Duración, TWS, TF Card, Compacto y Recargable via USB，Perfecto para viajes, fiestas y gaming</t>
        </is>
      </c>
      <c r="H503" s="16" t="inlineStr">
        <is>
          <t>rojo</t>
        </is>
      </c>
      <c r="I503" s="16" t="n">
        <v>1</v>
      </c>
      <c r="J503" s="17" t="n">
        <v>60</v>
      </c>
      <c r="K503" s="17" t="n">
        <v>70.72</v>
      </c>
      <c r="L503" s="17" t="n">
        <v>25.86</v>
      </c>
      <c r="M503" s="17" t="n">
        <v>4</v>
      </c>
      <c r="N503" s="17">
        <f>K503*0.08+L503*0.08</f>
        <v/>
      </c>
      <c r="O503" s="17">
        <f>-(K503*0.025+L503*0.025)</f>
        <v/>
      </c>
      <c r="P503" s="17">
        <f>32</f>
        <v/>
      </c>
      <c r="Q503" s="17">
        <f>J503+L503+N503+O503-P503-M503</f>
        <v/>
      </c>
    </row>
    <row r="504">
      <c r="A504" s="16" t="inlineStr">
        <is>
          <t>5.29-6.4</t>
        </is>
      </c>
      <c r="B504" s="16" t="inlineStr">
        <is>
          <t>PO-128-02090199560313380</t>
        </is>
      </c>
      <c r="C504" s="16" t="inlineStr">
        <is>
          <t>Delivered</t>
        </is>
      </c>
      <c r="D504" s="16" t="inlineStr">
        <is>
          <t>128-02090267717753380</t>
        </is>
      </c>
      <c r="E504" s="16" t="inlineStr">
        <is>
          <t>Delivered</t>
        </is>
      </c>
      <c r="F504" s="16" t="inlineStr">
        <is>
          <t>SA320T-V</t>
        </is>
      </c>
      <c r="G504" s="16" t="inlineStr">
        <is>
          <t>Altavoz inalámbrico portátil con Luces RGB, Radio FM y Manija - 5h Duración, TWS, TF Card, Compacto y Recargable via USB，Perfecto para viajes, fiestas y gaming</t>
        </is>
      </c>
      <c r="H504" s="16" t="inlineStr">
        <is>
          <t>verde</t>
        </is>
      </c>
      <c r="I504" s="16" t="n">
        <v>1</v>
      </c>
      <c r="J504" s="17" t="n">
        <v>48</v>
      </c>
      <c r="K504" s="17" t="n">
        <v>81.97</v>
      </c>
      <c r="L504" s="17" t="n">
        <v>25.86</v>
      </c>
      <c r="M504" s="17" t="n">
        <v>0</v>
      </c>
      <c r="N504" s="17">
        <f>K504*0.08+L504*0.08</f>
        <v/>
      </c>
      <c r="O504" s="17">
        <f>-(K504*0.025+L504*0.025)</f>
        <v/>
      </c>
      <c r="P504" s="17">
        <f>32</f>
        <v/>
      </c>
      <c r="Q504" s="17">
        <f>J504+L504+N504+O504-P504-M504</f>
        <v/>
      </c>
    </row>
    <row r="505">
      <c r="A505" s="16" t="inlineStr">
        <is>
          <t>5.29-6.4</t>
        </is>
      </c>
      <c r="B505" s="16" t="inlineStr">
        <is>
          <t>PO-128-02555682440311567</t>
        </is>
      </c>
      <c r="C505" s="16" t="inlineStr">
        <is>
          <t>Delivered</t>
        </is>
      </c>
      <c r="D505" s="16" t="inlineStr">
        <is>
          <t>128-02555750597751567</t>
        </is>
      </c>
      <c r="E505" s="16" t="inlineStr">
        <is>
          <t>Delivered</t>
        </is>
      </c>
      <c r="F505" s="16" t="inlineStr">
        <is>
          <t>A500-A</t>
        </is>
      </c>
      <c r="G505" s="16" t="inlineStr">
        <is>
          <t>Bocina Bluetooth Portátil Barra de Sonido, Inalámbrica con FM Radio, TWS, USB/TF, Graves Potentes para Hogar y Exteriores</t>
        </is>
      </c>
      <c r="H505" s="16" t="inlineStr">
        <is>
          <t>AZUL</t>
        </is>
      </c>
      <c r="I505" s="16" t="n">
        <v>1</v>
      </c>
      <c r="J505" s="17" t="n">
        <v>72</v>
      </c>
      <c r="K505" s="17" t="n">
        <v>81.95</v>
      </c>
      <c r="L505" s="17" t="n">
        <v>25.86</v>
      </c>
      <c r="M505" s="17" t="n">
        <v>0</v>
      </c>
      <c r="N505" s="17">
        <f>K505*0.08+L505*0.08</f>
        <v/>
      </c>
      <c r="O505" s="17">
        <f>-(K505*0.025+L505*0.025)</f>
        <v/>
      </c>
      <c r="P505" s="17">
        <f>32</f>
        <v/>
      </c>
      <c r="Q505" s="17">
        <f>J505+L505+N505+O505-P505-M505</f>
        <v/>
      </c>
    </row>
    <row r="506">
      <c r="A506" s="16" t="inlineStr">
        <is>
          <t>5.29-6.4</t>
        </is>
      </c>
      <c r="B506" s="16" t="inlineStr">
        <is>
          <t>PO-128-02358097191032937</t>
        </is>
      </c>
      <c r="C506" s="16" t="inlineStr">
        <is>
          <t>Delivered</t>
        </is>
      </c>
      <c r="D506" s="16" t="inlineStr">
        <is>
          <t>128-02358139134072937</t>
        </is>
      </c>
      <c r="E506" s="16" t="inlineStr">
        <is>
          <t>Delivered</t>
        </is>
      </c>
      <c r="F506" s="16" t="inlineStr">
        <is>
          <t>A500-N</t>
        </is>
      </c>
      <c r="G506" s="16" t="inlineStr">
        <is>
          <t>Bocina Bluetooth Portátil Barra de Sonido, Inalámbrica con FM Radio, TWS, USB/TF, Graves Potentes para Hogar y Exteriores</t>
        </is>
      </c>
      <c r="H506" s="16" t="inlineStr">
        <is>
          <t>NEGRO</t>
        </is>
      </c>
      <c r="I506" s="16" t="n">
        <v>1</v>
      </c>
      <c r="J506" s="17" t="n">
        <v>78</v>
      </c>
      <c r="K506" s="17" t="n">
        <v>10.98</v>
      </c>
      <c r="L506" s="17" t="n">
        <v>25.86</v>
      </c>
      <c r="M506" s="17" t="n">
        <v>0</v>
      </c>
      <c r="N506" s="17">
        <f>K506*0.08+L506*0.08</f>
        <v/>
      </c>
      <c r="O506" s="17">
        <f>-(K506*0.025+L506*0.025)</f>
        <v/>
      </c>
      <c r="P506" s="17">
        <f>32</f>
        <v/>
      </c>
      <c r="Q506" s="17">
        <f>J506+L506+N506+O506-P506-M506</f>
        <v/>
      </c>
    </row>
    <row r="507">
      <c r="A507" s="16" t="inlineStr">
        <is>
          <t>5.29-6.4</t>
        </is>
      </c>
      <c r="B507" s="16" t="inlineStr">
        <is>
          <t>PO-128-02284909991032221</t>
        </is>
      </c>
      <c r="C507" s="16" t="inlineStr">
        <is>
          <t>Delivered</t>
        </is>
      </c>
      <c r="D507" s="16" t="inlineStr">
        <is>
          <t>128-02284920476792221</t>
        </is>
      </c>
      <c r="E507" s="16" t="inlineStr">
        <is>
          <t>Delivered</t>
        </is>
      </c>
      <c r="F507" s="16" t="inlineStr">
        <is>
          <t>A500-A</t>
        </is>
      </c>
      <c r="G507" s="16" t="inlineStr">
        <is>
          <t>Bocina Bluetooth Portátil Barra de Sonido, Inalámbrica con FM Radio, TWS, USB/TF, Graves Potentes para Hogar y Exteriores</t>
        </is>
      </c>
      <c r="H507" s="16" t="inlineStr">
        <is>
          <t>AZUL</t>
        </is>
      </c>
      <c r="I507" s="16" t="n">
        <v>1</v>
      </c>
      <c r="J507" s="17" t="n">
        <v>72</v>
      </c>
      <c r="K507" s="17" t="n">
        <v>81.95</v>
      </c>
      <c r="L507" s="17" t="n">
        <v>25.86</v>
      </c>
      <c r="M507" s="17" t="n">
        <v>0</v>
      </c>
      <c r="N507" s="17">
        <f>K507*0.08+L507*0.08</f>
        <v/>
      </c>
      <c r="O507" s="17">
        <f>-(K507*0.025+L507*0.025)</f>
        <v/>
      </c>
      <c r="P507" s="17">
        <f>32</f>
        <v/>
      </c>
      <c r="Q507" s="17">
        <f>J507+L507+N507+O507-P507-M507</f>
        <v/>
      </c>
    </row>
    <row r="508">
      <c r="A508" s="16" t="inlineStr">
        <is>
          <t>5.29-6.4</t>
        </is>
      </c>
      <c r="B508" s="16" t="inlineStr">
        <is>
          <t>PO-128-02644547182710012</t>
        </is>
      </c>
      <c r="C508" s="16" t="inlineStr">
        <is>
          <t>Delivered</t>
        </is>
      </c>
      <c r="D508" s="16" t="inlineStr">
        <is>
          <t>128-02644578639990012</t>
        </is>
      </c>
      <c r="E508" s="16" t="inlineStr">
        <is>
          <t>Delivered</t>
        </is>
      </c>
      <c r="F508" s="16" t="inlineStr">
        <is>
          <t>A500-N</t>
        </is>
      </c>
      <c r="G508" s="16" t="inlineStr">
        <is>
          <t>Bocina Bluetooth Portátil Barra de Sonido, Inalámbrica con FM Radio, TWS, USB/TF, Graves Potentes para Hogar y Exteriores</t>
        </is>
      </c>
      <c r="H508" s="16" t="inlineStr">
        <is>
          <t>NEGRO</t>
        </is>
      </c>
      <c r="I508" s="16" t="n">
        <v>1</v>
      </c>
      <c r="J508" s="17" t="n">
        <v>78</v>
      </c>
      <c r="K508" s="17" t="n">
        <v>88.56999999999999</v>
      </c>
      <c r="L508" s="17" t="n">
        <v>25.86</v>
      </c>
      <c r="M508" s="17" t="n">
        <v>0</v>
      </c>
      <c r="N508" s="17">
        <f>K508*0.08+L508*0.08</f>
        <v/>
      </c>
      <c r="O508" s="17">
        <f>-(K508*0.025+L508*0.025)</f>
        <v/>
      </c>
      <c r="P508" s="17">
        <f>32</f>
        <v/>
      </c>
      <c r="Q508" s="17">
        <f>J508+L508+N508+O508-P508-M508</f>
        <v/>
      </c>
    </row>
    <row r="509">
      <c r="A509" s="16" t="inlineStr">
        <is>
          <t>5.29-6.4</t>
        </is>
      </c>
      <c r="B509" s="16" t="inlineStr">
        <is>
          <t>PO-128-02234545472632456</t>
        </is>
      </c>
      <c r="C509" s="16" t="inlineStr">
        <is>
          <t>Delivered</t>
        </is>
      </c>
      <c r="D509" s="16" t="inlineStr">
        <is>
          <t>128-02234503529592456</t>
        </is>
      </c>
      <c r="E509" s="16" t="inlineStr">
        <is>
          <t>Delivered</t>
        </is>
      </c>
      <c r="F509" s="16" t="inlineStr">
        <is>
          <t>A500-A</t>
        </is>
      </c>
      <c r="G509" s="16" t="inlineStr">
        <is>
          <t>Bocina Bluetooth Portátil Barra de Sonido, Inalámbrica con FM Radio, TWS, USB/TF, Graves Potentes para Hogar y Exteriores</t>
        </is>
      </c>
      <c r="H509" s="16" t="inlineStr">
        <is>
          <t>AZUL</t>
        </is>
      </c>
      <c r="I509" s="16" t="n">
        <v>1</v>
      </c>
      <c r="J509" s="17" t="n">
        <v>72</v>
      </c>
      <c r="K509" s="17" t="n">
        <v>38.85</v>
      </c>
      <c r="L509" s="17" t="n">
        <v>25.86</v>
      </c>
      <c r="M509" s="17" t="n">
        <v>0</v>
      </c>
      <c r="N509" s="17">
        <f>K509*0.08+L509*0.08</f>
        <v/>
      </c>
      <c r="O509" s="17">
        <f>-(K509*0.025+L509*0.025)</f>
        <v/>
      </c>
      <c r="P509" s="17">
        <f>32</f>
        <v/>
      </c>
      <c r="Q509" s="17">
        <f>J509+L509+N509+O509-P509-M509</f>
        <v/>
      </c>
    </row>
    <row r="510">
      <c r="A510" s="16" t="inlineStr">
        <is>
          <t>5.29-6.4</t>
        </is>
      </c>
      <c r="B510" s="16" t="inlineStr">
        <is>
          <t>PO-128-02376442417272762</t>
        </is>
      </c>
      <c r="C510" s="16" t="inlineStr">
        <is>
          <t>Delivered</t>
        </is>
      </c>
      <c r="D510" s="16" t="inlineStr">
        <is>
          <t>128-02376431931512762</t>
        </is>
      </c>
      <c r="E510" s="16" t="inlineStr">
        <is>
          <t>Delivered</t>
        </is>
      </c>
      <c r="F510" s="16" t="inlineStr">
        <is>
          <t>SA320T-P</t>
        </is>
      </c>
      <c r="G510" s="16" t="inlineStr">
        <is>
          <t>Altavoz inalámbrico portátil con Luces RGB, Radio FM y Manija - 5h Duración, TWS, TF Card, Compacto y Recargable via USB，Perfecto para viajes, fiestas y gaming</t>
        </is>
      </c>
      <c r="H510" s="16" t="inlineStr">
        <is>
          <t>rosa</t>
        </is>
      </c>
      <c r="I510" s="16" t="n">
        <v>1</v>
      </c>
      <c r="J510" s="17" t="n">
        <v>57</v>
      </c>
      <c r="K510" s="17" t="n">
        <v>3.06</v>
      </c>
      <c r="L510" s="17" t="n">
        <v>0</v>
      </c>
      <c r="M510" s="17" t="n">
        <v>0</v>
      </c>
      <c r="N510" s="17">
        <f>K510*0.08+L510*0.08</f>
        <v/>
      </c>
      <c r="O510" s="17">
        <f>-(K510*0.025+L510*0.025)</f>
        <v/>
      </c>
      <c r="P510" s="17">
        <f>32</f>
        <v/>
      </c>
      <c r="Q510" s="17">
        <f>J510+L510+N510+O510-P510-M510</f>
        <v/>
      </c>
    </row>
    <row r="511">
      <c r="A511" s="16" t="inlineStr">
        <is>
          <t>5.29-6.4</t>
        </is>
      </c>
      <c r="B511" s="16" t="inlineStr">
        <is>
          <t>PO-128-02376442417272762</t>
        </is>
      </c>
      <c r="C511" s="16" t="inlineStr">
        <is>
          <t>Delivered</t>
        </is>
      </c>
      <c r="D511" s="16" t="inlineStr">
        <is>
          <t>128-02376421445752762</t>
        </is>
      </c>
      <c r="E511" s="16" t="inlineStr">
        <is>
          <t>Delivered</t>
        </is>
      </c>
      <c r="F511" s="16" t="inlineStr">
        <is>
          <t>SA320T-R</t>
        </is>
      </c>
      <c r="G511" s="16" t="inlineStr">
        <is>
          <t>Altavoz inalámbrico portátil con Luces RGB, Radio FM y Manija - 5h Duración, TWS, TF Card, Compacto y Recargable via USB，Perfecto para viajes, fiestas y gaming</t>
        </is>
      </c>
      <c r="H511" s="16" t="inlineStr">
        <is>
          <t>rojo</t>
        </is>
      </c>
      <c r="I511" s="16" t="n">
        <v>2</v>
      </c>
      <c r="J511" s="17" t="n">
        <v>120</v>
      </c>
      <c r="K511" s="17" t="n">
        <v>6.4</v>
      </c>
      <c r="L511" s="17" t="n">
        <v>0</v>
      </c>
      <c r="M511" s="17" t="n">
        <v>0.38</v>
      </c>
      <c r="N511" s="17">
        <f>K511*0.08+L511*0.08</f>
        <v/>
      </c>
      <c r="O511" s="17">
        <f>-(K511*0.025+L511*0.025)</f>
        <v/>
      </c>
      <c r="P511" s="17">
        <f>32</f>
        <v/>
      </c>
      <c r="Q511" s="17">
        <f>J511+L511+N511+O511-P511-M511</f>
        <v/>
      </c>
    </row>
    <row r="512">
      <c r="A512" s="16" t="inlineStr">
        <is>
          <t>5.29-6.4</t>
        </is>
      </c>
      <c r="B512" s="16" t="inlineStr">
        <is>
          <t>PO-128-02376442417272762</t>
        </is>
      </c>
      <c r="C512" s="16" t="inlineStr">
        <is>
          <t>Delivered</t>
        </is>
      </c>
      <c r="D512" s="16" t="inlineStr">
        <is>
          <t>128-02376410959992762</t>
        </is>
      </c>
      <c r="E512" s="16" t="inlineStr">
        <is>
          <t>Delivered</t>
        </is>
      </c>
      <c r="F512" s="16" t="inlineStr">
        <is>
          <t>SA320T-A</t>
        </is>
      </c>
      <c r="G512" s="16" t="inlineStr">
        <is>
          <t>Altavoz inalámbrico portátil con Luces RGB, Radio FM y Manija - 5h Duración, TWS, TF Card, Compacto y Recargable via USB，Perfecto para viajes, fiestas y gaming</t>
        </is>
      </c>
      <c r="H512" s="16" t="inlineStr">
        <is>
          <t>azul</t>
        </is>
      </c>
      <c r="I512" s="16" t="n">
        <v>2</v>
      </c>
      <c r="J512" s="17" t="n">
        <v>108</v>
      </c>
      <c r="K512" s="17" t="n">
        <v>5.87</v>
      </c>
      <c r="L512" s="17" t="n">
        <v>0</v>
      </c>
      <c r="M512" s="17" t="n">
        <v>0.28</v>
      </c>
      <c r="N512" s="17">
        <f>K512*0.08+L512*0.08</f>
        <v/>
      </c>
      <c r="O512" s="17">
        <f>-(K512*0.025+L512*0.025)</f>
        <v/>
      </c>
      <c r="P512" s="17">
        <f>32</f>
        <v/>
      </c>
      <c r="Q512" s="17">
        <f>J512+L512+N512+O512-P512-M512</f>
        <v/>
      </c>
    </row>
    <row r="513">
      <c r="A513" s="16" t="inlineStr">
        <is>
          <t>5.29-6.4</t>
        </is>
      </c>
      <c r="B513" s="16" t="inlineStr">
        <is>
          <t>PO-128-02363480440952713</t>
        </is>
      </c>
      <c r="C513" s="16" t="inlineStr">
        <is>
          <t>Delivered</t>
        </is>
      </c>
      <c r="D513" s="16" t="inlineStr">
        <is>
          <t>128-02363459469432713</t>
        </is>
      </c>
      <c r="E513" s="16" t="inlineStr">
        <is>
          <t>Delivered</t>
        </is>
      </c>
      <c r="F513" s="16" t="inlineStr">
        <is>
          <t>A500-N</t>
        </is>
      </c>
      <c r="G513" s="16" t="inlineStr">
        <is>
          <t>Bocina Bluetooth Portátil Barra de Sonido, Inalámbrica con FM Radio, TWS, USB/TF, Graves Potentes para Hogar y Exteriores</t>
        </is>
      </c>
      <c r="H513" s="16" t="inlineStr">
        <is>
          <t>NEGRO</t>
        </is>
      </c>
      <c r="I513" s="16" t="n">
        <v>1</v>
      </c>
      <c r="J513" s="17" t="n">
        <v>78</v>
      </c>
      <c r="K513" s="17" t="n">
        <v>66.47</v>
      </c>
      <c r="L513" s="17" t="n">
        <v>25.86</v>
      </c>
      <c r="M513" s="17" t="n">
        <v>0</v>
      </c>
      <c r="N513" s="17">
        <f>K513*0.08+L513*0.08</f>
        <v/>
      </c>
      <c r="O513" s="17">
        <f>-(K513*0.025+L513*0.025)</f>
        <v/>
      </c>
      <c r="P513" s="17">
        <f>32</f>
        <v/>
      </c>
      <c r="Q513" s="17">
        <f>J513+L513+N513+O513-P513-M513</f>
        <v/>
      </c>
    </row>
    <row r="514">
      <c r="A514" s="16" t="inlineStr">
        <is>
          <t>5.29-6.4</t>
        </is>
      </c>
      <c r="B514" s="16" t="inlineStr">
        <is>
          <t>PO-128-02732115118710514</t>
        </is>
      </c>
      <c r="C514" s="16" t="inlineStr">
        <is>
          <t>Delivered</t>
        </is>
      </c>
      <c r="D514" s="16" t="inlineStr">
        <is>
          <t>128-02732120361590514</t>
        </is>
      </c>
      <c r="E514" s="16" t="inlineStr">
        <is>
          <t>Delivered</t>
        </is>
      </c>
      <c r="F514" s="16" t="inlineStr">
        <is>
          <t>A500-R</t>
        </is>
      </c>
      <c r="G514" s="16" t="inlineStr">
        <is>
          <t>Bocina Bluetooth Portátil Barra de Sonido, Inalámbrica con FM Radio, TWS, USB/TF, Graves Potentes para Hogar y Exteriores</t>
        </is>
      </c>
      <c r="H514" s="16" t="inlineStr">
        <is>
          <t>ROIO</t>
        </is>
      </c>
      <c r="I514" s="16" t="n">
        <v>1</v>
      </c>
      <c r="J514" s="17" t="n">
        <v>78</v>
      </c>
      <c r="K514" s="17" t="n">
        <v>79.52</v>
      </c>
      <c r="L514" s="17" t="n">
        <v>25.86</v>
      </c>
      <c r="M514" s="17" t="n">
        <v>0</v>
      </c>
      <c r="N514" s="17">
        <f>K514*0.08+L514*0.08</f>
        <v/>
      </c>
      <c r="O514" s="17">
        <f>-(K514*0.025+L514*0.025)</f>
        <v/>
      </c>
      <c r="P514" s="17">
        <f>32</f>
        <v/>
      </c>
      <c r="Q514" s="17">
        <f>J514+L514+N514+O514-P514-M514</f>
        <v/>
      </c>
    </row>
    <row r="515">
      <c r="A515" s="16" t="inlineStr">
        <is>
          <t>5.29-6.4</t>
        </is>
      </c>
      <c r="B515" s="16" t="inlineStr">
        <is>
          <t>PO-128-02416815278711499</t>
        </is>
      </c>
      <c r="C515" s="16" t="inlineStr">
        <is>
          <t>Delivered</t>
        </is>
      </c>
      <c r="D515" s="16" t="inlineStr">
        <is>
          <t>128-02416783821431499</t>
        </is>
      </c>
      <c r="E515" s="16" t="inlineStr">
        <is>
          <t>Delivered</t>
        </is>
      </c>
      <c r="F515" s="16" t="inlineStr">
        <is>
          <t>SA320T-A</t>
        </is>
      </c>
      <c r="G515" s="16" t="inlineStr">
        <is>
          <t>Altavoz inalámbrico portátil con Luces RGB, Radio FM y Manija - 5h Duración, TWS, TF Card, Compacto y Recargable via USB，Perfecto para viajes, fiestas y gaming</t>
        </is>
      </c>
      <c r="H515" s="16" t="inlineStr">
        <is>
          <t>azul</t>
        </is>
      </c>
      <c r="I515" s="16" t="n">
        <v>1</v>
      </c>
      <c r="J515" s="17" t="n">
        <v>54</v>
      </c>
      <c r="K515" s="17" t="n">
        <v>64.72</v>
      </c>
      <c r="L515" s="17" t="n">
        <v>25.86</v>
      </c>
      <c r="M515" s="17" t="n">
        <v>0</v>
      </c>
      <c r="N515" s="17">
        <f>K515*0.08+L515*0.08</f>
        <v/>
      </c>
      <c r="O515" s="17">
        <f>-(K515*0.025+L515*0.025)</f>
        <v/>
      </c>
      <c r="P515" s="17">
        <f>32</f>
        <v/>
      </c>
      <c r="Q515" s="17">
        <f>J515+L515+N515+O515-P515-M515</f>
        <v/>
      </c>
    </row>
    <row r="516">
      <c r="A516" s="16" t="inlineStr">
        <is>
          <t>5.29-6.4</t>
        </is>
      </c>
      <c r="B516" s="16" t="inlineStr">
        <is>
          <t>PO-128-21848872049270299</t>
        </is>
      </c>
      <c r="C516" s="16" t="inlineStr">
        <is>
          <t>Delivered</t>
        </is>
      </c>
      <c r="D516" s="16" t="inlineStr">
        <is>
          <t>128-21848913992310299</t>
        </is>
      </c>
      <c r="E516" s="16" t="inlineStr">
        <is>
          <t>Delivered</t>
        </is>
      </c>
      <c r="F516" s="16" t="inlineStr">
        <is>
          <t>SA320T-V</t>
        </is>
      </c>
      <c r="G516" s="16" t="inlineStr">
        <is>
          <t>Altavoz inalámbrico portátil con Luces RGB, Radio FM y Manija - 5h Duración, TWS, TF Card, Compacto y Recargable via USB，Perfecto para viajes, fiestas y gaming</t>
        </is>
      </c>
      <c r="H516" s="16" t="inlineStr">
        <is>
          <t>verde</t>
        </is>
      </c>
      <c r="I516" s="16" t="n">
        <v>1</v>
      </c>
      <c r="J516" s="17" t="n">
        <v>48</v>
      </c>
      <c r="K516" s="17" t="n">
        <v>81.97</v>
      </c>
      <c r="L516" s="17" t="n">
        <v>25.86</v>
      </c>
      <c r="M516" s="17" t="n">
        <v>0</v>
      </c>
      <c r="N516" s="17">
        <f>K516*0.08+L516*0.08</f>
        <v/>
      </c>
      <c r="O516" s="17">
        <f>-(K516*0.025+L516*0.025)</f>
        <v/>
      </c>
      <c r="P516" s="17">
        <f>32</f>
        <v/>
      </c>
      <c r="Q516" s="17">
        <f>J516+L516+N516+O516-P516-M516</f>
        <v/>
      </c>
    </row>
    <row r="517">
      <c r="A517" s="16" t="inlineStr">
        <is>
          <t>5.29-6.4</t>
        </is>
      </c>
      <c r="B517" s="16" t="inlineStr">
        <is>
          <t>PO-128-21925406904950995</t>
        </is>
      </c>
      <c r="C517" s="16" t="inlineStr">
        <is>
          <t>Delivered</t>
        </is>
      </c>
      <c r="D517" s="16" t="inlineStr">
        <is>
          <t>128-21925459333750995</t>
        </is>
      </c>
      <c r="E517" s="16" t="inlineStr">
        <is>
          <t>Delivered</t>
        </is>
      </c>
      <c r="F517" s="16" t="inlineStr">
        <is>
          <t>A500-N</t>
        </is>
      </c>
      <c r="G517" s="16" t="inlineStr">
        <is>
          <t>Bocina Bluetooth Portátil Barra de Sonido, Inalámbrica con FM Radio, TWS, USB/TF, Graves Potentes para Hogar y Exteriores</t>
        </is>
      </c>
      <c r="H517" s="16" t="inlineStr">
        <is>
          <t>NEGRO</t>
        </is>
      </c>
      <c r="I517" s="16" t="n">
        <v>1</v>
      </c>
      <c r="J517" s="17" t="n">
        <v>78</v>
      </c>
      <c r="K517" s="17" t="n">
        <v>88.56999999999999</v>
      </c>
      <c r="L517" s="17" t="n">
        <v>25.86</v>
      </c>
      <c r="M517" s="17" t="n">
        <v>0</v>
      </c>
      <c r="N517" s="17">
        <f>K517*0.08+L517*0.08</f>
        <v/>
      </c>
      <c r="O517" s="17">
        <f>-(K517*0.025+L517*0.025)</f>
        <v/>
      </c>
      <c r="P517" s="17">
        <f>32</f>
        <v/>
      </c>
      <c r="Q517" s="17">
        <f>J517+L517+N517+O517-P517-M517</f>
        <v/>
      </c>
    </row>
    <row r="518">
      <c r="A518" s="16" t="inlineStr">
        <is>
          <t>5.29-6.4</t>
        </is>
      </c>
      <c r="B518" s="16" t="inlineStr">
        <is>
          <t>PO-128-21700172114551185</t>
        </is>
      </c>
      <c r="C518" s="16" t="inlineStr">
        <is>
          <t>Delivered</t>
        </is>
      </c>
      <c r="D518" s="16" t="inlineStr">
        <is>
          <t>128-21700308429431185</t>
        </is>
      </c>
      <c r="E518" s="16" t="inlineStr">
        <is>
          <t>Delivered</t>
        </is>
      </c>
      <c r="F518" s="16" t="inlineStr">
        <is>
          <t>A500-N</t>
        </is>
      </c>
      <c r="G518" s="16" t="inlineStr">
        <is>
          <t>Bocina Bluetooth Portátil Barra de Sonido, Inalámbrica con FM Radio, TWS, USB/TF, Graves Potentes para Hogar y Exteriores</t>
        </is>
      </c>
      <c r="H518" s="16" t="inlineStr">
        <is>
          <t>NEGRO</t>
        </is>
      </c>
      <c r="I518" s="16" t="n">
        <v>1</v>
      </c>
      <c r="J518" s="17" t="n">
        <v>78</v>
      </c>
      <c r="K518" s="17" t="n">
        <v>5.81</v>
      </c>
      <c r="L518" s="17" t="n">
        <v>25.86</v>
      </c>
      <c r="M518" s="17" t="n">
        <v>0</v>
      </c>
      <c r="N518" s="17">
        <f>K518*0.08+L518*0.08</f>
        <v/>
      </c>
      <c r="O518" s="17">
        <f>-(K518*0.025+L518*0.025)</f>
        <v/>
      </c>
      <c r="P518" s="17">
        <f>32</f>
        <v/>
      </c>
      <c r="Q518" s="17">
        <f>J518+L518+N518+O518-P518-M518</f>
        <v/>
      </c>
    </row>
    <row r="519">
      <c r="A519" s="16" t="inlineStr">
        <is>
          <t>5.29-6.4</t>
        </is>
      </c>
      <c r="B519" s="16" t="inlineStr">
        <is>
          <t>PO-128-21474169180793682</t>
        </is>
      </c>
      <c r="C519" s="16" t="inlineStr">
        <is>
          <t>Delivered</t>
        </is>
      </c>
      <c r="D519" s="16" t="inlineStr">
        <is>
          <t>128-21474329088633682</t>
        </is>
      </c>
      <c r="E519" s="16" t="inlineStr">
        <is>
          <t>Delivered</t>
        </is>
      </c>
      <c r="F519" s="16" t="inlineStr">
        <is>
          <t>MB-185N</t>
        </is>
      </c>
      <c r="G519" s="16" t="inlineStr">
        <is>
          <t>Bocina Radio FM/Reproductor, Compatible con Tarjeta TF, USB, Bluetooth, Aplicable para celular, computadora, Ipad y consola</t>
        </is>
      </c>
      <c r="H519" s="16" t="inlineStr">
        <is>
          <t>NEGRO/MB-185</t>
        </is>
      </c>
      <c r="I519" s="16" t="n">
        <v>1</v>
      </c>
      <c r="J519" s="17" t="n">
        <v>66</v>
      </c>
      <c r="K519" s="17" t="n">
        <v>39.47</v>
      </c>
      <c r="L519" s="17" t="n">
        <v>25.86</v>
      </c>
      <c r="M519" s="17" t="n">
        <v>0</v>
      </c>
      <c r="N519" s="17">
        <f>K519*0.08+L519*0.08</f>
        <v/>
      </c>
      <c r="O519" s="17">
        <f>-(K519*0.025+L519*0.025)</f>
        <v/>
      </c>
      <c r="P519" s="17">
        <f>32</f>
        <v/>
      </c>
      <c r="Q519" s="17">
        <f>J519+L519+N519+O519-P519-M519</f>
        <v/>
      </c>
    </row>
    <row r="520">
      <c r="A520" s="16" t="inlineStr">
        <is>
          <t>5.29-6.4</t>
        </is>
      </c>
      <c r="B520" s="16" t="inlineStr">
        <is>
          <t>PO-128-21831177308790469</t>
        </is>
      </c>
      <c r="C520" s="16" t="inlineStr">
        <is>
          <t>Delivered</t>
        </is>
      </c>
      <c r="D520" s="16" t="inlineStr">
        <is>
          <t>128-21831135365750469</t>
        </is>
      </c>
      <c r="E520" s="16" t="inlineStr">
        <is>
          <t>Delivered</t>
        </is>
      </c>
      <c r="F520" s="16" t="inlineStr">
        <is>
          <t>MB-185N</t>
        </is>
      </c>
      <c r="G520" s="16" t="inlineStr">
        <is>
          <t>Bocina Radio FM/Reproductor, Compatible con Tarjeta TF, USB, Bluetooth, Aplicable para celular, computadora, Ipad y consola</t>
        </is>
      </c>
      <c r="H520" s="16" t="inlineStr">
        <is>
          <t>NEGRO/MB-185</t>
        </is>
      </c>
      <c r="I520" s="16" t="n">
        <v>1</v>
      </c>
      <c r="J520" s="17" t="n">
        <v>66</v>
      </c>
      <c r="K520" s="17" t="n">
        <v>1.35</v>
      </c>
      <c r="L520" s="17" t="n">
        <v>25.86</v>
      </c>
      <c r="M520" s="17" t="n">
        <v>0</v>
      </c>
      <c r="N520" s="17">
        <f>K520*0.08+L520*0.08</f>
        <v/>
      </c>
      <c r="O520" s="17">
        <f>-(K520*0.025+L520*0.025)</f>
        <v/>
      </c>
      <c r="P520" s="17">
        <f>32</f>
        <v/>
      </c>
      <c r="Q520" s="17">
        <f>J520+L520+N520+O520-P520-M520</f>
        <v/>
      </c>
    </row>
    <row r="521">
      <c r="A521" s="16" t="inlineStr">
        <is>
          <t>5.29-6.4</t>
        </is>
      </c>
      <c r="B521" s="16" t="inlineStr">
        <is>
          <t>PO-128-21563704607352959</t>
        </is>
      </c>
      <c r="C521" s="16" t="inlineStr">
        <is>
          <t>Delivered</t>
        </is>
      </c>
      <c r="D521" s="16" t="inlineStr">
        <is>
          <t>128-21563725578872959</t>
        </is>
      </c>
      <c r="E521" s="16" t="inlineStr">
        <is>
          <t>Delivered</t>
        </is>
      </c>
      <c r="F521" s="16" t="inlineStr">
        <is>
          <t>A500-N</t>
        </is>
      </c>
      <c r="G521" s="16" t="inlineStr">
        <is>
          <t>Bocina Bluetooth Portátil Barra de Sonido, Inalámbrica con FM Radio, TWS, USB/TF, Graves Potentes para Hogar y Exteriores</t>
        </is>
      </c>
      <c r="H521" s="16" t="inlineStr">
        <is>
          <t>NEGRO</t>
        </is>
      </c>
      <c r="I521" s="16" t="n">
        <v>2</v>
      </c>
      <c r="J521" s="17" t="n">
        <v>159.64</v>
      </c>
      <c r="K521" s="17" t="n">
        <v>129.08</v>
      </c>
      <c r="L521" s="17" t="n">
        <v>25.86</v>
      </c>
      <c r="M521" s="17" t="n">
        <v>0</v>
      </c>
      <c r="N521" s="17">
        <f>K521*0.08+L521*0.08</f>
        <v/>
      </c>
      <c r="O521" s="17">
        <f>-(K521*0.025+L521*0.025)</f>
        <v/>
      </c>
      <c r="P521" s="17">
        <f>32</f>
        <v/>
      </c>
      <c r="Q521" s="17">
        <f>J521+L521+N521+O521-P521-M521</f>
        <v/>
      </c>
    </row>
    <row r="522">
      <c r="A522" s="16" t="inlineStr">
        <is>
          <t>5.29-6.4</t>
        </is>
      </c>
      <c r="B522" s="16" t="inlineStr">
        <is>
          <t>PO-128-21908753039990900</t>
        </is>
      </c>
      <c r="C522" s="16" t="inlineStr">
        <is>
          <t>Delivered</t>
        </is>
      </c>
      <c r="D522" s="16" t="inlineStr">
        <is>
          <t>128-21908763525750900</t>
        </is>
      </c>
      <c r="E522" s="16" t="inlineStr">
        <is>
          <t>Delivered</t>
        </is>
      </c>
      <c r="F522" s="16" t="inlineStr">
        <is>
          <t>SA315TA</t>
        </is>
      </c>
      <c r="G522" s="16" t="inlineStr">
        <is>
          <t>Altavoz inalámbrico portátil con Luces RGB, Radio FM y Manija - 5h Duración, TWS, TF Card, Compacto y Recargable via USB，Perfecto para viajes, fiestas y gaming</t>
        </is>
      </c>
      <c r="H522" s="16" t="inlineStr">
        <is>
          <t>AZUL-LK</t>
        </is>
      </c>
      <c r="I522" s="16" t="n">
        <v>1</v>
      </c>
      <c r="J522" s="17" t="n">
        <v>49</v>
      </c>
      <c r="K522" s="17" t="n">
        <v>57.5</v>
      </c>
      <c r="L522" s="17" t="n">
        <v>25.86</v>
      </c>
      <c r="M522" s="17" t="n">
        <v>0</v>
      </c>
      <c r="N522" s="17">
        <f>K522*0.08+L522*0.08</f>
        <v/>
      </c>
      <c r="O522" s="17">
        <f>-(K522*0.025+L522*0.025)</f>
        <v/>
      </c>
      <c r="P522" s="17">
        <f>32</f>
        <v/>
      </c>
      <c r="Q522" s="17">
        <f>J522+L522+N522+O522-P522-M522</f>
        <v/>
      </c>
    </row>
    <row r="523">
      <c r="A523" s="16" t="inlineStr">
        <is>
          <t>5.29-6.4</t>
        </is>
      </c>
      <c r="B523" s="16" t="inlineStr">
        <is>
          <t>PO-128-21811127450231610</t>
        </is>
      </c>
      <c r="C523" s="16" t="inlineStr">
        <is>
          <t>Delivered</t>
        </is>
      </c>
      <c r="D523" s="16" t="inlineStr">
        <is>
          <t>128-21811106478711610</t>
        </is>
      </c>
      <c r="E523" s="16" t="inlineStr">
        <is>
          <t>Delivered</t>
        </is>
      </c>
      <c r="F523" s="16" t="inlineStr">
        <is>
          <t>SA315TA</t>
        </is>
      </c>
      <c r="G523" s="16" t="inlineStr">
        <is>
          <t>Altavoz inalámbrico portátil con Luces RGB, Radio FM y Manija - 5h Duración, TWS, TF Card, Compacto y Recargable via USB，Perfecto para viajes, fiestas y gaming</t>
        </is>
      </c>
      <c r="H523" s="16" t="inlineStr">
        <is>
          <t>AZUL-LK</t>
        </is>
      </c>
      <c r="I523" s="16" t="n">
        <v>1</v>
      </c>
      <c r="J523" s="17" t="n">
        <v>49</v>
      </c>
      <c r="K523" s="17" t="n">
        <v>57.5</v>
      </c>
      <c r="L523" s="17" t="n">
        <v>25.86</v>
      </c>
      <c r="M523" s="17" t="n">
        <v>0</v>
      </c>
      <c r="N523" s="17">
        <f>K523*0.08+L523*0.08</f>
        <v/>
      </c>
      <c r="O523" s="17">
        <f>-(K523*0.025+L523*0.025)</f>
        <v/>
      </c>
      <c r="P523" s="17">
        <f>32</f>
        <v/>
      </c>
      <c r="Q523" s="17">
        <f>J523+L523+N523+O523-P523-M523</f>
        <v/>
      </c>
    </row>
    <row r="524">
      <c r="A524" s="16" t="inlineStr">
        <is>
          <t>5.29-6.4</t>
        </is>
      </c>
      <c r="B524" s="16" t="inlineStr">
        <is>
          <t>PO-128-21703521941111229</t>
        </is>
      </c>
      <c r="C524" s="16" t="inlineStr">
        <is>
          <t>Delivered</t>
        </is>
      </c>
      <c r="D524" s="16" t="inlineStr">
        <is>
          <t>128-21703532426871229</t>
        </is>
      </c>
      <c r="E524" s="16" t="inlineStr">
        <is>
          <t>Delivered</t>
        </is>
      </c>
      <c r="F524" s="16" t="inlineStr">
        <is>
          <t>A500-A</t>
        </is>
      </c>
      <c r="G524" s="16" t="inlineStr">
        <is>
          <t>Bocina Bluetooth Portátil Barra de Sonido, Inalámbrica con FM Radio, TWS, USB/TF, Graves Potentes para Hogar y Exteriores</t>
        </is>
      </c>
      <c r="H524" s="16" t="inlineStr">
        <is>
          <t>AZUL</t>
        </is>
      </c>
      <c r="I524" s="16" t="n">
        <v>1</v>
      </c>
      <c r="J524" s="17" t="n">
        <v>74.81</v>
      </c>
      <c r="K524" s="17" t="n">
        <v>84.76000000000001</v>
      </c>
      <c r="L524" s="17" t="n">
        <v>25.86</v>
      </c>
      <c r="M524" s="17" t="n">
        <v>0</v>
      </c>
      <c r="N524" s="17">
        <f>K524*0.08+L524*0.08</f>
        <v/>
      </c>
      <c r="O524" s="17">
        <f>-(K524*0.025+L524*0.025)</f>
        <v/>
      </c>
      <c r="P524" s="17">
        <f>32</f>
        <v/>
      </c>
      <c r="Q524" s="17">
        <f>J524+L524+N524+O524-P524-M524</f>
        <v/>
      </c>
    </row>
    <row r="525">
      <c r="A525" s="16" t="inlineStr">
        <is>
          <t>5.29-6.4</t>
        </is>
      </c>
      <c r="B525" s="16" t="inlineStr">
        <is>
          <t>PO-128-21750689260152034</t>
        </is>
      </c>
      <c r="C525" s="16" t="inlineStr">
        <is>
          <t>Delivered</t>
        </is>
      </c>
      <c r="D525" s="16" t="inlineStr">
        <is>
          <t>128-21750710231672034</t>
        </is>
      </c>
      <c r="E525" s="16" t="inlineStr">
        <is>
          <t>Delivered</t>
        </is>
      </c>
      <c r="F525" s="16" t="inlineStr">
        <is>
          <t>A500-N</t>
        </is>
      </c>
      <c r="G525" s="16" t="inlineStr">
        <is>
          <t>Bocina Bluetooth Portátil Barra de Sonido, Inalámbrica con FM Radio, TWS, USB/TF, Graves Potentes para Hogar y Exteriores</t>
        </is>
      </c>
      <c r="H525" s="16" t="inlineStr">
        <is>
          <t>NEGRO</t>
        </is>
      </c>
      <c r="I525" s="16" t="n">
        <v>1</v>
      </c>
      <c r="J525" s="17" t="n">
        <v>79.81999999999999</v>
      </c>
      <c r="K525" s="17" t="n">
        <v>72.31999999999999</v>
      </c>
      <c r="L525" s="17" t="n">
        <v>25.86</v>
      </c>
      <c r="M525" s="17" t="n">
        <v>0</v>
      </c>
      <c r="N525" s="17">
        <f>K525*0.08+L525*0.08</f>
        <v/>
      </c>
      <c r="O525" s="17">
        <f>-(K525*0.025+L525*0.025)</f>
        <v/>
      </c>
      <c r="P525" s="17">
        <f>32</f>
        <v/>
      </c>
      <c r="Q525" s="17">
        <f>J525+L525+N525+O525-P525-M525</f>
        <v/>
      </c>
    </row>
    <row r="526">
      <c r="A526" s="16" t="inlineStr">
        <is>
          <t>5.29-6.4</t>
        </is>
      </c>
      <c r="B526" s="16" t="inlineStr">
        <is>
          <t>PO-128-21666925036151510</t>
        </is>
      </c>
      <c r="C526" s="16" t="inlineStr">
        <is>
          <t>Delivered</t>
        </is>
      </c>
      <c r="D526" s="16" t="inlineStr">
        <is>
          <t>128-21666877850231510</t>
        </is>
      </c>
      <c r="E526" s="16" t="inlineStr">
        <is>
          <t>Delivered</t>
        </is>
      </c>
      <c r="F526" s="16" t="inlineStr">
        <is>
          <t>SA315TA</t>
        </is>
      </c>
      <c r="G526" s="16" t="inlineStr">
        <is>
          <t>Altavoz inalámbrico portátil con Luces RGB, Radio FM y Manija - 5h Duración, TWS, TF Card, Compacto y Recargable via USB，Perfecto para viajes, fiestas y gaming</t>
        </is>
      </c>
      <c r="H526" s="16" t="inlineStr">
        <is>
          <t>AZUL-LK</t>
        </is>
      </c>
      <c r="I526" s="16" t="n">
        <v>1</v>
      </c>
      <c r="J526" s="17" t="n">
        <v>49</v>
      </c>
      <c r="K526" s="17" t="n">
        <v>56.9</v>
      </c>
      <c r="L526" s="17" t="n">
        <v>25.86</v>
      </c>
      <c r="M526" s="17" t="n">
        <v>0</v>
      </c>
      <c r="N526" s="17">
        <f>K526*0.08+L526*0.08</f>
        <v/>
      </c>
      <c r="O526" s="17">
        <f>-(K526*0.025+L526*0.025)</f>
        <v/>
      </c>
      <c r="P526" s="17">
        <f>32</f>
        <v/>
      </c>
      <c r="Q526" s="17">
        <f>J526+L526+N526+O526-P526-M526</f>
        <v/>
      </c>
    </row>
    <row r="527">
      <c r="A527" s="16" t="inlineStr">
        <is>
          <t>5.29-6.4</t>
        </is>
      </c>
      <c r="B527" s="16" t="inlineStr">
        <is>
          <t>PO-128-10702692245111199</t>
        </is>
      </c>
      <c r="C527" s="16" t="inlineStr">
        <is>
          <t>Delivered</t>
        </is>
      </c>
      <c r="D527" s="16" t="inlineStr">
        <is>
          <t>128-10702715838071199</t>
        </is>
      </c>
      <c r="E527" s="16" t="inlineStr">
        <is>
          <t>Delivered</t>
        </is>
      </c>
      <c r="F527" s="16" t="inlineStr">
        <is>
          <t>A500-N</t>
        </is>
      </c>
      <c r="G527" s="16" t="inlineStr">
        <is>
          <t>Bocina Bluetooth Portátil Barra de Sonido, Inalámbrica con FM Radio, TWS, USB/TF, Graves Potentes para Hogar y Exteriores</t>
        </is>
      </c>
      <c r="H527" s="16" t="inlineStr">
        <is>
          <t>NEGRO</t>
        </is>
      </c>
      <c r="I527" s="16" t="n">
        <v>1</v>
      </c>
      <c r="J527" s="17" t="n">
        <v>79.81999999999999</v>
      </c>
      <c r="K527" s="17" t="n">
        <v>90.40000000000001</v>
      </c>
      <c r="L527" s="17" t="n">
        <v>25.86</v>
      </c>
      <c r="M527" s="17" t="n">
        <v>0</v>
      </c>
      <c r="N527" s="17">
        <f>K527*0.08+L527*0.08</f>
        <v/>
      </c>
      <c r="O527" s="17">
        <f>-(K527*0.025+L527*0.025)</f>
        <v/>
      </c>
      <c r="P527" s="17">
        <f>32</f>
        <v/>
      </c>
      <c r="Q527" s="17">
        <f>J527+L527+N527+O527-P527-M527</f>
        <v/>
      </c>
    </row>
    <row r="528">
      <c r="A528" s="16" t="inlineStr">
        <is>
          <t>5.29-6.4</t>
        </is>
      </c>
      <c r="B528" s="16" t="inlineStr">
        <is>
          <t>PO-128-10681269555831327</t>
        </is>
      </c>
      <c r="C528" s="16" t="inlineStr">
        <is>
          <t>Delivered</t>
        </is>
      </c>
      <c r="D528" s="16" t="inlineStr">
        <is>
          <t>128-10681238098551327</t>
        </is>
      </c>
      <c r="E528" s="16" t="inlineStr">
        <is>
          <t>Delivered</t>
        </is>
      </c>
      <c r="F528" s="16" t="inlineStr">
        <is>
          <t>MB-185R</t>
        </is>
      </c>
      <c r="G528" s="16" t="inlineStr">
        <is>
          <t>Bocina Radio FM/Reproductor, Compatible con Tarjeta TF, USB, Bluetooth, Aplicable para celular, computadora, Ipad y consola</t>
        </is>
      </c>
      <c r="H528" s="16" t="inlineStr">
        <is>
          <t>ROJO/MB-185</t>
        </is>
      </c>
      <c r="I528" s="16" t="n">
        <v>1</v>
      </c>
      <c r="J528" s="17" t="n">
        <v>85</v>
      </c>
      <c r="K528" s="17" t="n">
        <v>97.94</v>
      </c>
      <c r="L528" s="17" t="n">
        <v>25.86</v>
      </c>
      <c r="M528" s="17" t="n">
        <v>0</v>
      </c>
      <c r="N528" s="17">
        <f>K528*0.08+L528*0.08</f>
        <v/>
      </c>
      <c r="O528" s="17">
        <f>-(K528*0.025+L528*0.025)</f>
        <v/>
      </c>
      <c r="P528" s="17">
        <f>32</f>
        <v/>
      </c>
      <c r="Q528" s="17">
        <f>J528+L528+N528+O528-P528-M528</f>
        <v/>
      </c>
    </row>
    <row r="529">
      <c r="A529" s="16" t="inlineStr">
        <is>
          <t>5.29-6.4</t>
        </is>
      </c>
      <c r="B529" s="16" t="inlineStr">
        <is>
          <t>PO-128-10734753316471134</t>
        </is>
      </c>
      <c r="C529" s="16" t="inlineStr">
        <is>
          <t>Delivered</t>
        </is>
      </c>
      <c r="D529" s="16" t="inlineStr">
        <is>
          <t>128-10734889631351134</t>
        </is>
      </c>
      <c r="E529" s="16" t="inlineStr">
        <is>
          <t>Delivered</t>
        </is>
      </c>
      <c r="F529" s="16" t="inlineStr">
        <is>
          <t>A500-A</t>
        </is>
      </c>
      <c r="G529" s="16" t="inlineStr">
        <is>
          <t>Bocina Bluetooth Portátil Barra de Sonido, Inalámbrica con FM Radio, TWS, USB/TF, Graves Potentes para Hogar y Exteriores</t>
        </is>
      </c>
      <c r="H529" s="16" t="inlineStr">
        <is>
          <t>AZUL</t>
        </is>
      </c>
      <c r="I529" s="16" t="n">
        <v>1</v>
      </c>
      <c r="J529" s="17" t="n">
        <v>74.81</v>
      </c>
      <c r="K529" s="17" t="n">
        <v>84.76000000000001</v>
      </c>
      <c r="L529" s="17" t="n">
        <v>25.86</v>
      </c>
      <c r="M529" s="17" t="n">
        <v>0</v>
      </c>
      <c r="N529" s="17">
        <f>K529*0.08+L529*0.08</f>
        <v/>
      </c>
      <c r="O529" s="17">
        <f>-(K529*0.025+L529*0.025)</f>
        <v/>
      </c>
      <c r="P529" s="17">
        <f>32</f>
        <v/>
      </c>
      <c r="Q529" s="17">
        <f>J529+L529+N529+O529-P529-M529</f>
        <v/>
      </c>
    </row>
    <row r="530">
      <c r="A530" s="16" t="inlineStr">
        <is>
          <t>5.29-6.4</t>
        </is>
      </c>
      <c r="B530" s="16" t="inlineStr">
        <is>
          <t>PO-128-10949776456310879</t>
        </is>
      </c>
      <c r="C530" s="16" t="inlineStr">
        <is>
          <t>Delivered</t>
        </is>
      </c>
      <c r="D530" s="16" t="inlineStr">
        <is>
          <t>128-10949817416310879</t>
        </is>
      </c>
      <c r="E530" s="16" t="inlineStr">
        <is>
          <t>Delivered</t>
        </is>
      </c>
      <c r="F530" s="16" t="inlineStr">
        <is>
          <t>MB-183B</t>
        </is>
      </c>
      <c r="G530" s="16" t="inlineStr">
        <is>
          <t>Linkbits Altavoz Bluetooth Portátil con Stereo Inalámbrico TWS Impermeable y a Prueba de Polvo IP65 Altavoz de Graves de Rango Completo de 52mm con Doble Unidad Ligero de 215g para Camping Senderismo y Fiestas al Aire Libre</t>
        </is>
      </c>
      <c r="H530" s="16" t="inlineStr">
        <is>
          <t>AZUL/MB-183</t>
        </is>
      </c>
      <c r="I530" s="16" t="n">
        <v>1</v>
      </c>
      <c r="J530" s="17" t="n">
        <v>90</v>
      </c>
      <c r="K530" s="17" t="n">
        <v>107.38</v>
      </c>
      <c r="L530" s="17" t="n">
        <v>25.86</v>
      </c>
      <c r="M530" s="17" t="n">
        <v>0</v>
      </c>
      <c r="N530" s="17">
        <f>K530*0.08+L530*0.08</f>
        <v/>
      </c>
      <c r="O530" s="17">
        <f>-(K530*0.025+L530*0.025)</f>
        <v/>
      </c>
      <c r="P530" s="17">
        <f>32</f>
        <v/>
      </c>
      <c r="Q530" s="17">
        <f>J530+L530+N530+O530-P530-M530</f>
        <v/>
      </c>
    </row>
    <row r="531">
      <c r="A531" s="16" t="inlineStr">
        <is>
          <t>5.29-6.4</t>
        </is>
      </c>
      <c r="B531" s="16" t="inlineStr">
        <is>
          <t>PO-128-10655102259831419</t>
        </is>
      </c>
      <c r="C531" s="16" t="inlineStr">
        <is>
          <t>Delivered</t>
        </is>
      </c>
      <c r="D531" s="16" t="inlineStr">
        <is>
          <t>128-10655112745591419</t>
        </is>
      </c>
      <c r="E531" s="16" t="inlineStr">
        <is>
          <t>Delivered</t>
        </is>
      </c>
      <c r="F531" s="16" t="inlineStr">
        <is>
          <t>A500-A</t>
        </is>
      </c>
      <c r="G531" s="16" t="inlineStr">
        <is>
          <t>Bocina Bluetooth Portátil Barra de Sonido, Inalámbrica con FM Radio, TWS, USB/TF, Graves Potentes para Hogar y Exteriores</t>
        </is>
      </c>
      <c r="H531" s="16" t="inlineStr">
        <is>
          <t>AZUL</t>
        </is>
      </c>
      <c r="I531" s="16" t="n">
        <v>2</v>
      </c>
      <c r="J531" s="17" t="n">
        <v>149.62</v>
      </c>
      <c r="K531" s="17" t="n">
        <v>112.44</v>
      </c>
      <c r="L531" s="17" t="n">
        <v>25.86</v>
      </c>
      <c r="M531" s="17" t="n">
        <v>0</v>
      </c>
      <c r="N531" s="17">
        <f>K531*0.08+L531*0.08</f>
        <v/>
      </c>
      <c r="O531" s="17">
        <f>-(K531*0.025+L531*0.025)</f>
        <v/>
      </c>
      <c r="P531" s="17">
        <f>32</f>
        <v/>
      </c>
      <c r="Q531" s="17">
        <f>J531+L531+N531+O531-P531-M531</f>
        <v/>
      </c>
    </row>
    <row r="532">
      <c r="A532" s="16" t="inlineStr">
        <is>
          <t>5.29-6.4</t>
        </is>
      </c>
      <c r="B532" s="16" t="inlineStr">
        <is>
          <t>PO-128-10974459817590538</t>
        </is>
      </c>
      <c r="C532" s="16" t="inlineStr">
        <is>
          <t>Delivered</t>
        </is>
      </c>
      <c r="D532" s="16" t="inlineStr">
        <is>
          <t>128-10974417874550538</t>
        </is>
      </c>
      <c r="E532" s="16" t="inlineStr">
        <is>
          <t>Delivered</t>
        </is>
      </c>
      <c r="F532" s="16" t="inlineStr">
        <is>
          <t>A500-R</t>
        </is>
      </c>
      <c r="G532" s="16" t="inlineStr">
        <is>
          <t>Bocina Bluetooth Portátil Barra de Sonido, Inalámbrica con FM Radio, TWS, USB/TF, Graves Potentes para Hogar y Exteriores</t>
        </is>
      </c>
      <c r="H532" s="16" t="inlineStr">
        <is>
          <t>ROIO</t>
        </is>
      </c>
      <c r="I532" s="16" t="n">
        <v>2</v>
      </c>
      <c r="J532" s="17" t="n">
        <v>159.64</v>
      </c>
      <c r="K532" s="17" t="n">
        <v>180.58</v>
      </c>
      <c r="L532" s="17" t="n">
        <v>25.86</v>
      </c>
      <c r="M532" s="17" t="n">
        <v>0</v>
      </c>
      <c r="N532" s="17">
        <f>K532*0.08+L532*0.08</f>
        <v/>
      </c>
      <c r="O532" s="17">
        <f>-(K532*0.025+L532*0.025)</f>
        <v/>
      </c>
      <c r="P532" s="17">
        <f>32</f>
        <v/>
      </c>
      <c r="Q532" s="17">
        <f>J532+L532+N532+O532-P532-M532</f>
        <v/>
      </c>
    </row>
    <row r="533">
      <c r="A533" s="16" t="inlineStr">
        <is>
          <t>5.29-6.4</t>
        </is>
      </c>
      <c r="B533" s="16" t="inlineStr">
        <is>
          <t>PO-128-10747770849911955</t>
        </is>
      </c>
      <c r="C533" s="16" t="inlineStr">
        <is>
          <t>Delivered</t>
        </is>
      </c>
      <c r="D533" s="16" t="inlineStr">
        <is>
          <t>128-10747791821431955</t>
        </is>
      </c>
      <c r="E533" s="16" t="inlineStr">
        <is>
          <t>Delivered</t>
        </is>
      </c>
      <c r="F533" s="16" t="inlineStr">
        <is>
          <t>SA320T-N</t>
        </is>
      </c>
      <c r="G533" s="16" t="inlineStr">
        <is>
          <t>Altavoz inalámbrico portátil con Luces RGB, Radio FM y Manija - 5h Duración, TWS, TF Card, Compacto y Recargable via USB，Perfecto para viajes, fiestas y gaming</t>
        </is>
      </c>
      <c r="H533" s="16" t="inlineStr">
        <is>
          <t>negro</t>
        </is>
      </c>
      <c r="I533" s="16" t="n">
        <v>1</v>
      </c>
      <c r="J533" s="17" t="n">
        <v>63</v>
      </c>
      <c r="K533" s="17" t="n">
        <v>73.72</v>
      </c>
      <c r="L533" s="17" t="n">
        <v>25.86</v>
      </c>
      <c r="M533" s="17" t="n">
        <v>0</v>
      </c>
      <c r="N533" s="17">
        <f>K533*0.08+L533*0.08</f>
        <v/>
      </c>
      <c r="O533" s="17">
        <f>-(K533*0.025+L533*0.025)</f>
        <v/>
      </c>
      <c r="P533" s="17">
        <f>32</f>
        <v/>
      </c>
      <c r="Q533" s="17">
        <f>J533+L533+N533+O533-P533-M533</f>
        <v/>
      </c>
    </row>
    <row r="534">
      <c r="A534" s="16" t="inlineStr">
        <is>
          <t>5.29-6.4</t>
        </is>
      </c>
      <c r="B534" s="16" t="inlineStr">
        <is>
          <t>PO-128-10948416271990887</t>
        </is>
      </c>
      <c r="C534" s="16" t="inlineStr">
        <is>
          <t>Delivered</t>
        </is>
      </c>
      <c r="D534" s="16" t="inlineStr">
        <is>
          <t>128-10948437243510887</t>
        </is>
      </c>
      <c r="E534" s="16" t="inlineStr">
        <is>
          <t>Delivered</t>
        </is>
      </c>
      <c r="F534" s="16" t="inlineStr">
        <is>
          <t>A500-N</t>
        </is>
      </c>
      <c r="G534" s="16" t="inlineStr">
        <is>
          <t>Bocina Bluetooth Portátil Barra de Sonido, Inalámbrica con FM Radio, TWS, USB/TF, Graves Potentes para Hogar y Exteriores</t>
        </is>
      </c>
      <c r="H534" s="16" t="inlineStr">
        <is>
          <t>NEGRO</t>
        </is>
      </c>
      <c r="I534" s="16" t="n">
        <v>1</v>
      </c>
      <c r="J534" s="17" t="n">
        <v>79.81999999999999</v>
      </c>
      <c r="K534" s="17" t="n">
        <v>72.33</v>
      </c>
      <c r="L534" s="17" t="n">
        <v>25.86</v>
      </c>
      <c r="M534" s="17" t="n">
        <v>0</v>
      </c>
      <c r="N534" s="17">
        <f>K534*0.08+L534*0.08</f>
        <v/>
      </c>
      <c r="O534" s="17">
        <f>-(K534*0.025+L534*0.025)</f>
        <v/>
      </c>
      <c r="P534" s="17">
        <f>32</f>
        <v/>
      </c>
      <c r="Q534" s="17">
        <f>J534+L534+N534+O534-P534-M534</f>
        <v/>
      </c>
    </row>
    <row r="535">
      <c r="A535" s="16" t="inlineStr">
        <is>
          <t>5.29-6.4</t>
        </is>
      </c>
      <c r="B535" s="16" t="inlineStr">
        <is>
          <t>PO-128-10423440799353886</t>
        </is>
      </c>
      <c r="C535" s="16" t="inlineStr">
        <is>
          <t>Delivered</t>
        </is>
      </c>
      <c r="D535" s="16" t="inlineStr">
        <is>
          <t>128-10423508956793886</t>
        </is>
      </c>
      <c r="E535" s="16" t="inlineStr">
        <is>
          <t>Delivered</t>
        </is>
      </c>
      <c r="F535" s="16" t="inlineStr">
        <is>
          <t>MB-183N</t>
        </is>
      </c>
      <c r="G535" s="16" t="inlineStr">
        <is>
          <t>Linkbits Altavoz Bluetooth Portátil con Stereo Inalámbrico TWS Impermeable y a Prueba de Polvo IP65 Altavoz de Graves de Rango Completo de 52mm con Doble Unidad Ligero de 215g para Camping Senderismo y Fiestas al Aire Libre</t>
        </is>
      </c>
      <c r="H535" s="16" t="inlineStr">
        <is>
          <t>NEGRO/MB-183</t>
        </is>
      </c>
      <c r="I535" s="16" t="n">
        <v>1</v>
      </c>
      <c r="J535" s="17" t="n">
        <v>95</v>
      </c>
      <c r="K535" s="17" t="n">
        <v>112.38</v>
      </c>
      <c r="L535" s="17" t="n">
        <v>25.86</v>
      </c>
      <c r="M535" s="17" t="n">
        <v>0</v>
      </c>
      <c r="N535" s="17">
        <f>K535*0.08+L535*0.08</f>
        <v/>
      </c>
      <c r="O535" s="17">
        <f>-(K535*0.025+L535*0.025)</f>
        <v/>
      </c>
      <c r="P535" s="17">
        <f>32</f>
        <v/>
      </c>
      <c r="Q535" s="17">
        <f>J535+L535+N535+O535-P535-M535</f>
        <v/>
      </c>
    </row>
    <row r="536">
      <c r="A536" s="16" t="inlineStr">
        <is>
          <t>5.29-6.4</t>
        </is>
      </c>
      <c r="B536" s="16" t="inlineStr">
        <is>
          <t>PO-128-10994237389430612</t>
        </is>
      </c>
      <c r="C536" s="16" t="inlineStr">
        <is>
          <t>Delivered</t>
        </is>
      </c>
      <c r="D536" s="16" t="inlineStr">
        <is>
          <t>128-10994243943030612</t>
        </is>
      </c>
      <c r="E536" s="16" t="inlineStr">
        <is>
          <t>Delivered</t>
        </is>
      </c>
      <c r="F536" s="16" t="inlineStr">
        <is>
          <t>SA320T-R</t>
        </is>
      </c>
      <c r="G536" s="16" t="inlineStr">
        <is>
          <t>Altavoz inalámbrico portátil con Luces RGB, Radio FM y Manija - 5h Duración, TWS, TF Card, Compacto y Recargable via USB，Perfecto para viajes, fiestas y gaming</t>
        </is>
      </c>
      <c r="H536" s="16" t="inlineStr">
        <is>
          <t>rojo</t>
        </is>
      </c>
      <c r="I536" s="16" t="n">
        <v>1</v>
      </c>
      <c r="J536" s="17" t="n">
        <v>63</v>
      </c>
      <c r="K536" s="17" t="n">
        <v>67.42</v>
      </c>
      <c r="L536" s="17" t="n">
        <v>25.86</v>
      </c>
      <c r="M536" s="17" t="n">
        <v>0</v>
      </c>
      <c r="N536" s="17">
        <f>K536*0.08+L536*0.08</f>
        <v/>
      </c>
      <c r="O536" s="17">
        <f>-(K536*0.025+L536*0.025)</f>
        <v/>
      </c>
      <c r="P536" s="17">
        <f>32</f>
        <v/>
      </c>
      <c r="Q536" s="17">
        <f>J536+L536+N536+O536-P536-M536</f>
        <v/>
      </c>
    </row>
    <row r="537">
      <c r="A537" s="16" t="inlineStr">
        <is>
          <t>5.29-6.4</t>
        </is>
      </c>
      <c r="B537" s="16" t="inlineStr">
        <is>
          <t>PO-128-10790318899831701</t>
        </is>
      </c>
      <c r="C537" s="16" t="inlineStr">
        <is>
          <t>Delivered</t>
        </is>
      </c>
      <c r="D537" s="16" t="inlineStr">
        <is>
          <t>128-10790287442551701</t>
        </is>
      </c>
      <c r="E537" s="16" t="inlineStr">
        <is>
          <t>Delivered</t>
        </is>
      </c>
      <c r="F537" s="16" t="inlineStr">
        <is>
          <t>MB-183N</t>
        </is>
      </c>
      <c r="G537" s="16" t="inlineStr">
        <is>
          <t>Linkbits Altavoz Bluetooth Portátil con Stereo Inalámbrico TWS Impermeable y a Prueba de Polvo IP65 Altavoz de Graves de Rango Completo de 52mm con Doble Unidad Ligero de 215g para Camping Senderismo y Fiestas al Aire Libre</t>
        </is>
      </c>
      <c r="H537" s="16" t="inlineStr">
        <is>
          <t>NEGRO/MB-183</t>
        </is>
      </c>
      <c r="I537" s="16" t="n">
        <v>1</v>
      </c>
      <c r="J537" s="17" t="n">
        <v>95</v>
      </c>
      <c r="K537" s="17" t="n">
        <v>112.38</v>
      </c>
      <c r="L537" s="17" t="n">
        <v>25.86</v>
      </c>
      <c r="M537" s="17" t="n">
        <v>0</v>
      </c>
      <c r="N537" s="17">
        <f>K537*0.08+L537*0.08</f>
        <v/>
      </c>
      <c r="O537" s="17">
        <f>-(K537*0.025+L537*0.025)</f>
        <v/>
      </c>
      <c r="P537" s="17">
        <f>32</f>
        <v/>
      </c>
      <c r="Q537" s="17">
        <f>J537+L537+N537+O537-P537-M537</f>
        <v/>
      </c>
    </row>
    <row r="538">
      <c r="A538" s="16" t="inlineStr">
        <is>
          <t>5.29-6.4</t>
        </is>
      </c>
      <c r="B538" s="16" t="inlineStr">
        <is>
          <t>PO-128-16348513306230314</t>
        </is>
      </c>
      <c r="C538" s="16" t="inlineStr">
        <is>
          <t>Delivered</t>
        </is>
      </c>
      <c r="D538" s="16" t="inlineStr">
        <is>
          <t>128-16348534277750314</t>
        </is>
      </c>
      <c r="E538" s="16" t="inlineStr">
        <is>
          <t>Delivered</t>
        </is>
      </c>
      <c r="F538" s="16" t="inlineStr">
        <is>
          <t>A500-N</t>
        </is>
      </c>
      <c r="G538" s="16" t="inlineStr">
        <is>
          <t>Bocina Bluetooth Portátil Barra de Sonido, Inalámbrica con FM Radio, TWS, USB/TF, Graves Potentes para Hogar y Exteriores</t>
        </is>
      </c>
      <c r="H538" s="16" t="inlineStr">
        <is>
          <t>NEGRO</t>
        </is>
      </c>
      <c r="I538" s="16" t="n">
        <v>1</v>
      </c>
      <c r="J538" s="17" t="n">
        <v>79.81999999999999</v>
      </c>
      <c r="K538" s="17" t="n">
        <v>90.40000000000001</v>
      </c>
      <c r="L538" s="17" t="n">
        <v>25.86</v>
      </c>
      <c r="M538" s="17" t="n">
        <v>0</v>
      </c>
      <c r="N538" s="17">
        <f>K538*0.08+L538*0.08</f>
        <v/>
      </c>
      <c r="O538" s="17">
        <f>-(K538*0.025+L538*0.025)</f>
        <v/>
      </c>
      <c r="P538" s="17">
        <f>32</f>
        <v/>
      </c>
      <c r="Q538" s="17">
        <f>J538+L538+N538+O538-P538-M538</f>
        <v/>
      </c>
    </row>
    <row r="539">
      <c r="A539" s="16" t="inlineStr">
        <is>
          <t>5.8-5.14</t>
        </is>
      </c>
      <c r="B539" s="16" t="inlineStr">
        <is>
          <t>PO-128-20926865019512723</t>
        </is>
      </c>
      <c r="C539" s="16" t="inlineStr">
        <is>
          <t>Shipped</t>
        </is>
      </c>
      <c r="D539" s="16" t="inlineStr">
        <is>
          <t>128-20926867640952723</t>
        </is>
      </c>
      <c r="E539" s="16" t="inlineStr">
        <is>
          <t>Shipped</t>
        </is>
      </c>
      <c r="F539" s="16" t="inlineStr">
        <is>
          <t>MB-185R</t>
        </is>
      </c>
      <c r="G539" s="16" t="inlineStr">
        <is>
          <t>Bocina Radio FM/Reproductor, Compatible con Tarjeta TF, USB, Bluetooth, Aplicable para celular, computadora, Ipad y consola</t>
        </is>
      </c>
      <c r="H539" s="16" t="inlineStr">
        <is>
          <t>ROJO/MB-185</t>
        </is>
      </c>
      <c r="I539" s="16" t="n">
        <v>1</v>
      </c>
      <c r="J539" s="17" t="n">
        <v>75.5</v>
      </c>
      <c r="K539" s="17" t="n">
        <v>81.26000000000001</v>
      </c>
      <c r="L539" s="17" t="n">
        <v>0</v>
      </c>
      <c r="M539" s="17" t="n">
        <v>0</v>
      </c>
      <c r="N539" s="17">
        <f>K539*0.08+L539*0.08</f>
        <v/>
      </c>
      <c r="O539" s="17">
        <f>-(K539*0.025+L539*0.025)</f>
        <v/>
      </c>
      <c r="P539" s="17">
        <f>32</f>
        <v/>
      </c>
      <c r="Q539" s="17">
        <f>J539+L539+N539+O539-P539-M539</f>
        <v/>
      </c>
    </row>
    <row r="540">
      <c r="A540" s="16" t="inlineStr">
        <is>
          <t>5.8-5.14</t>
        </is>
      </c>
      <c r="B540" s="16" t="inlineStr">
        <is>
          <t>PO-128-20926865019512723</t>
        </is>
      </c>
      <c r="C540" s="16" t="inlineStr">
        <is>
          <t>Shipped</t>
        </is>
      </c>
      <c r="D540" s="16" t="inlineStr">
        <is>
          <t>128-20926846669432723</t>
        </is>
      </c>
      <c r="E540" s="16" t="inlineStr">
        <is>
          <t>Shipped</t>
        </is>
      </c>
      <c r="F540" s="16" t="inlineStr">
        <is>
          <t>A500-A</t>
        </is>
      </c>
      <c r="G540" s="16" t="inlineStr">
        <is>
          <t>Bocina Bluetooth Portátil Barra de Sonido, Inalámbrica con FM Radio, TWS, USB/TF, Graves Potentes para Hogar y Exteriores</t>
        </is>
      </c>
      <c r="H540" s="16" t="inlineStr">
        <is>
          <t>AZUL</t>
        </is>
      </c>
      <c r="I540" s="16" t="n">
        <v>1</v>
      </c>
      <c r="J540" s="17" t="n">
        <v>78.88</v>
      </c>
      <c r="K540" s="17" t="n">
        <v>82.08</v>
      </c>
      <c r="L540" s="17" t="n">
        <v>0</v>
      </c>
      <c r="M540" s="17" t="n">
        <v>0</v>
      </c>
      <c r="N540" s="17">
        <f>K540*0.08+L540*0.08</f>
        <v/>
      </c>
      <c r="O540" s="17">
        <f>-(K540*0.025+L540*0.025)</f>
        <v/>
      </c>
      <c r="P540" s="17">
        <f>32</f>
        <v/>
      </c>
      <c r="Q540" s="17">
        <f>J540+L540+N540+O540-P540-M540</f>
        <v/>
      </c>
    </row>
    <row r="541">
      <c r="A541" s="16" t="inlineStr">
        <is>
          <t>5.8-5.14</t>
        </is>
      </c>
      <c r="B541" s="16" t="inlineStr">
        <is>
          <t>PO-128-20926865019512723</t>
        </is>
      </c>
      <c r="C541" s="16" t="inlineStr">
        <is>
          <t>Shipped</t>
        </is>
      </c>
      <c r="D541" s="16" t="inlineStr">
        <is>
          <t>128-20926854533752723</t>
        </is>
      </c>
      <c r="E541" s="16" t="inlineStr">
        <is>
          <t>Shipped</t>
        </is>
      </c>
      <c r="F541" s="16" t="inlineStr">
        <is>
          <t>A500-R</t>
        </is>
      </c>
      <c r="G541" s="16" t="inlineStr">
        <is>
          <t>Bocina Bluetooth Portátil Barra de Sonido, Inalámbrica con FM Radio, TWS, USB/TF, Graves Potentes para Hogar y Exteriores</t>
        </is>
      </c>
      <c r="H541" s="16" t="inlineStr">
        <is>
          <t>ROIO</t>
        </is>
      </c>
      <c r="I541" s="16" t="n">
        <v>3</v>
      </c>
      <c r="J541" s="17" t="n">
        <v>240</v>
      </c>
      <c r="K541" s="17" t="n">
        <v>249.32</v>
      </c>
      <c r="L541" s="17" t="n">
        <v>0</v>
      </c>
      <c r="M541" s="17" t="n">
        <v>0</v>
      </c>
      <c r="N541" s="17">
        <f>K541*0.08+L541*0.08</f>
        <v/>
      </c>
      <c r="O541" s="17">
        <f>-(K541*0.025+L541*0.025)</f>
        <v/>
      </c>
      <c r="P541" s="17">
        <f>32</f>
        <v/>
      </c>
      <c r="Q541" s="17">
        <f>J541+L541+N541+O541-P541-M541</f>
        <v/>
      </c>
    </row>
    <row r="542">
      <c r="A542" s="16" t="inlineStr">
        <is>
          <t>5.8-5.14</t>
        </is>
      </c>
      <c r="B542" s="16" t="inlineStr">
        <is>
          <t>PO-128-21207942072950087</t>
        </is>
      </c>
      <c r="C542" s="16" t="inlineStr">
        <is>
          <t>Shipped</t>
        </is>
      </c>
      <c r="D542" s="16" t="inlineStr">
        <is>
          <t>128-21207963044470087</t>
        </is>
      </c>
      <c r="E542" s="16" t="inlineStr">
        <is>
          <t>Shipped</t>
        </is>
      </c>
      <c r="F542" s="16" t="inlineStr">
        <is>
          <t>MB-183N</t>
        </is>
      </c>
      <c r="G542" s="16" t="inlineStr">
        <is>
          <t>Linkbits Altavoz Bluetooth Portátil con Stereo Inalámbrico TWS Impermeable y a Prueba de Polvo IP65 Altavoz de Graves de Rango Completo de 52mm con Doble Unidad Ligero de 215g para Camping Senderismo y Fiestas al Aire Libre</t>
        </is>
      </c>
      <c r="H542" s="16" t="inlineStr">
        <is>
          <t>NEGRO/MB-183</t>
        </is>
      </c>
      <c r="I542" s="16" t="n">
        <v>1</v>
      </c>
      <c r="J542" s="17" t="n">
        <v>95</v>
      </c>
      <c r="K542" s="17" t="n">
        <v>112.39</v>
      </c>
      <c r="L542" s="17" t="n">
        <v>25.86</v>
      </c>
      <c r="M542" s="17" t="n">
        <v>0</v>
      </c>
      <c r="N542" s="17">
        <f>K542*0.08+L542*0.08</f>
        <v/>
      </c>
      <c r="O542" s="17">
        <f>-(K542*0.025+L542*0.025)</f>
        <v/>
      </c>
      <c r="P542" s="17">
        <f>32</f>
        <v/>
      </c>
      <c r="Q542" s="17">
        <f>J542+L542+N542+O542-P542-M542</f>
        <v/>
      </c>
    </row>
    <row r="543">
      <c r="A543" s="16" t="inlineStr">
        <is>
          <t>5.8-5.14</t>
        </is>
      </c>
      <c r="B543" s="16" t="inlineStr">
        <is>
          <t>PO-128-20636979431033555</t>
        </is>
      </c>
      <c r="C543" s="16" t="inlineStr">
        <is>
          <t>Shipped</t>
        </is>
      </c>
      <c r="D543" s="16" t="inlineStr">
        <is>
          <t>128-20636958459513555</t>
        </is>
      </c>
      <c r="E543" s="16" t="inlineStr">
        <is>
          <t>Shipped</t>
        </is>
      </c>
      <c r="F543" s="16" t="inlineStr">
        <is>
          <t>A500-N</t>
        </is>
      </c>
      <c r="G543" s="16" t="inlineStr">
        <is>
          <t>Bocina Bluetooth Portátil Barra de Sonido, Inalámbrica con FM Radio, TWS, USB/TF, Graves Potentes para Hogar y Exteriores</t>
        </is>
      </c>
      <c r="H543" s="16" t="inlineStr">
        <is>
          <t>NEGRO</t>
        </is>
      </c>
      <c r="I543" s="16" t="n">
        <v>2</v>
      </c>
      <c r="J543" s="17" t="n">
        <v>163.92</v>
      </c>
      <c r="K543" s="17" t="n">
        <v>161.66</v>
      </c>
      <c r="L543" s="17" t="n">
        <v>25.86</v>
      </c>
      <c r="M543" s="17" t="n">
        <v>0</v>
      </c>
      <c r="N543" s="17">
        <f>K543*0.08+L543*0.08</f>
        <v/>
      </c>
      <c r="O543" s="17">
        <f>-(K543*0.025+L543*0.025)</f>
        <v/>
      </c>
      <c r="P543" s="17">
        <f>32</f>
        <v/>
      </c>
      <c r="Q543" s="17">
        <f>J543+L543+N543+O543-P543-M543</f>
        <v/>
      </c>
    </row>
    <row r="544">
      <c r="A544" s="16" t="inlineStr">
        <is>
          <t>5.8-5.14</t>
        </is>
      </c>
      <c r="B544" s="16" t="inlineStr">
        <is>
          <t>PO-128-21086234215031901</t>
        </is>
      </c>
      <c r="C544" s="16" t="inlineStr">
        <is>
          <t>Shipped</t>
        </is>
      </c>
      <c r="D544" s="16" t="inlineStr">
        <is>
          <t>128-21086192271991901</t>
        </is>
      </c>
      <c r="E544" s="16" t="inlineStr">
        <is>
          <t>Shipped</t>
        </is>
      </c>
      <c r="F544" s="16" t="inlineStr">
        <is>
          <t>MB-185R</t>
        </is>
      </c>
      <c r="G544" s="16" t="inlineStr">
        <is>
          <t>Bocina Radio FM/Reproductor, Compatible con Tarjeta TF, USB, Bluetooth, Aplicable para celular, computadora, Ipad y consola</t>
        </is>
      </c>
      <c r="H544" s="16" t="inlineStr">
        <is>
          <t>ROJO/MB-185</t>
        </is>
      </c>
      <c r="I544" s="16" t="n">
        <v>1</v>
      </c>
      <c r="J544" s="17" t="n">
        <v>75.5</v>
      </c>
      <c r="K544" s="17" t="n">
        <v>88.45999999999999</v>
      </c>
      <c r="L544" s="17" t="n">
        <v>25.86</v>
      </c>
      <c r="M544" s="17" t="n">
        <v>0</v>
      </c>
      <c r="N544" s="17">
        <f>K544*0.08+L544*0.08</f>
        <v/>
      </c>
      <c r="O544" s="17">
        <f>-(K544*0.025+L544*0.025)</f>
        <v/>
      </c>
      <c r="P544" s="17">
        <f>32</f>
        <v/>
      </c>
      <c r="Q544" s="17">
        <f>J544+L544+N544+O544-P544-M544</f>
        <v/>
      </c>
    </row>
    <row r="545">
      <c r="A545" s="16" t="inlineStr">
        <is>
          <t>5.8-5.14</t>
        </is>
      </c>
      <c r="B545" s="16" t="inlineStr">
        <is>
          <t>PO-128-10087320732791859</t>
        </is>
      </c>
      <c r="C545" s="16" t="inlineStr">
        <is>
          <t>Shipped</t>
        </is>
      </c>
      <c r="D545" s="16" t="inlineStr">
        <is>
          <t>128-10087373161591859</t>
        </is>
      </c>
      <c r="E545" s="16" t="inlineStr">
        <is>
          <t>Shipped</t>
        </is>
      </c>
      <c r="F545" s="16" t="inlineStr">
        <is>
          <t>A500-N</t>
        </is>
      </c>
      <c r="G545" s="16" t="inlineStr">
        <is>
          <t>Bocina Bluetooth Portátil Barra de Sonido, Inalámbrica con FM Radio, TWS, USB/TF, Graves Potentes para Hogar y Exteriores</t>
        </is>
      </c>
      <c r="H545" s="16" t="inlineStr">
        <is>
          <t>NEGRO</t>
        </is>
      </c>
      <c r="I545" s="16" t="n">
        <v>1</v>
      </c>
      <c r="J545" s="17" t="n">
        <v>81.95999999999999</v>
      </c>
      <c r="K545" s="17" t="n">
        <v>94.8</v>
      </c>
      <c r="L545" s="17" t="n">
        <v>25.86</v>
      </c>
      <c r="M545" s="17" t="n">
        <v>0</v>
      </c>
      <c r="N545" s="17">
        <f>K545*0.08+L545*0.08</f>
        <v/>
      </c>
      <c r="O545" s="17">
        <f>-(K545*0.025+L545*0.025)</f>
        <v/>
      </c>
      <c r="P545" s="17">
        <f>32</f>
        <v/>
      </c>
      <c r="Q545" s="17">
        <f>J545+L545+N545+O545-P545-M545</f>
        <v/>
      </c>
    </row>
    <row r="546">
      <c r="A546" s="16" t="inlineStr">
        <is>
          <t>5.8-5.14</t>
        </is>
      </c>
      <c r="B546" s="16" t="inlineStr">
        <is>
          <t>PO-128-10152504978550511</t>
        </is>
      </c>
      <c r="C546" s="16" t="inlineStr">
        <is>
          <t>Shipped</t>
        </is>
      </c>
      <c r="D546" s="16" t="inlineStr">
        <is>
          <t>128-10152525950070511</t>
        </is>
      </c>
      <c r="E546" s="16" t="inlineStr">
        <is>
          <t>Shipped</t>
        </is>
      </c>
      <c r="F546" s="16" t="inlineStr">
        <is>
          <t>A500-N</t>
        </is>
      </c>
      <c r="G546" s="16" t="inlineStr">
        <is>
          <t>Bocina Bluetooth Portátil Barra de Sonido, Inalámbrica con FM Radio, TWS, USB/TF, Graves Potentes para Hogar y Exteriores</t>
        </is>
      </c>
      <c r="H546" s="16" t="inlineStr">
        <is>
          <t>NEGRO</t>
        </is>
      </c>
      <c r="I546" s="16" t="n">
        <v>1</v>
      </c>
      <c r="J546" s="17" t="n">
        <v>81.95999999999999</v>
      </c>
      <c r="K546" s="17" t="n">
        <v>12.04</v>
      </c>
      <c r="L546" s="17" t="n">
        <v>25.86</v>
      </c>
      <c r="M546" s="17" t="n">
        <v>0</v>
      </c>
      <c r="N546" s="17">
        <f>K546*0.08+L546*0.08</f>
        <v/>
      </c>
      <c r="O546" s="17">
        <f>-(K546*0.025+L546*0.025)</f>
        <v/>
      </c>
      <c r="P546" s="17">
        <f>32</f>
        <v/>
      </c>
      <c r="Q546" s="17">
        <f>J546+L546+N546+O546-P546-M546</f>
        <v/>
      </c>
    </row>
    <row r="547">
      <c r="A547" s="16" t="inlineStr">
        <is>
          <t>5.8-5.14</t>
        </is>
      </c>
      <c r="B547" s="16" t="inlineStr">
        <is>
          <t>PO-128-10286784595830540</t>
        </is>
      </c>
      <c r="C547" s="16" t="inlineStr">
        <is>
          <t>Shipped</t>
        </is>
      </c>
      <c r="D547" s="16" t="inlineStr">
        <is>
          <t>128-10286948435830540</t>
        </is>
      </c>
      <c r="E547" s="16" t="inlineStr">
        <is>
          <t>Shipped</t>
        </is>
      </c>
      <c r="F547" s="16" t="inlineStr">
        <is>
          <t>A500-N</t>
        </is>
      </c>
      <c r="G547" s="16" t="inlineStr">
        <is>
          <t>Bocina Bluetooth Portátil Barra de Sonido, Inalámbrica con FM Radio, TWS, USB/TF, Graves Potentes para Hogar y Exteriores</t>
        </is>
      </c>
      <c r="H547" s="16" t="inlineStr">
        <is>
          <t>NEGRO</t>
        </is>
      </c>
      <c r="I547" s="16" t="n">
        <v>1</v>
      </c>
      <c r="J547" s="17" t="n">
        <v>81.95999999999999</v>
      </c>
      <c r="K547" s="17" t="n">
        <v>94.8</v>
      </c>
      <c r="L547" s="17" t="n">
        <v>25.86</v>
      </c>
      <c r="M547" s="17" t="n">
        <v>0</v>
      </c>
      <c r="N547" s="17">
        <f>K547*0.08+L547*0.08</f>
        <v/>
      </c>
      <c r="O547" s="17">
        <f>-(K547*0.025+L547*0.025)</f>
        <v/>
      </c>
      <c r="P547" s="17">
        <f>32</f>
        <v/>
      </c>
      <c r="Q547" s="17">
        <f>J547+L547+N547+O547-P547-M547</f>
        <v/>
      </c>
    </row>
    <row r="548">
      <c r="A548" s="16" t="inlineStr">
        <is>
          <t>5.8-5.14</t>
        </is>
      </c>
      <c r="B548" s="16" t="inlineStr">
        <is>
          <t>PO-128-10030817733751042</t>
        </is>
      </c>
      <c r="C548" s="16" t="inlineStr">
        <is>
          <t>Shipped</t>
        </is>
      </c>
      <c r="D548" s="16" t="inlineStr">
        <is>
          <t>128-10030828219511042</t>
        </is>
      </c>
      <c r="E548" s="16" t="inlineStr">
        <is>
          <t>Shipped</t>
        </is>
      </c>
      <c r="F548" s="16" t="inlineStr">
        <is>
          <t>A500-N</t>
        </is>
      </c>
      <c r="G548" s="16" t="inlineStr">
        <is>
          <t>Bocina Bluetooth Portátil Barra de Sonido, Inalámbrica con FM Radio, TWS, USB/TF, Graves Potentes para Hogar y Exteriores</t>
        </is>
      </c>
      <c r="H548" s="16" t="inlineStr">
        <is>
          <t>NEGRO</t>
        </is>
      </c>
      <c r="I548" s="16" t="n">
        <v>1</v>
      </c>
      <c r="J548" s="17" t="n">
        <v>81.95999999999999</v>
      </c>
      <c r="K548" s="17" t="n">
        <v>94.8</v>
      </c>
      <c r="L548" s="17" t="n">
        <v>25.86</v>
      </c>
      <c r="M548" s="17" t="n">
        <v>0</v>
      </c>
      <c r="N548" s="17">
        <f>K548*0.08+L548*0.08</f>
        <v/>
      </c>
      <c r="O548" s="17">
        <f>-(K548*0.025+L548*0.025)</f>
        <v/>
      </c>
      <c r="P548" s="17">
        <f>32</f>
        <v/>
      </c>
      <c r="Q548" s="17">
        <f>J548+L548+N548+O548-P548-M548</f>
        <v/>
      </c>
    </row>
    <row r="549">
      <c r="A549" s="16" t="inlineStr">
        <is>
          <t>5.8-5.14</t>
        </is>
      </c>
      <c r="B549" s="16" t="inlineStr">
        <is>
          <t>PO-128-10218158840950118</t>
        </is>
      </c>
      <c r="C549" s="16" t="inlineStr">
        <is>
          <t>Shipped</t>
        </is>
      </c>
      <c r="D549" s="16" t="inlineStr">
        <is>
          <t>128-10218153598070118</t>
        </is>
      </c>
      <c r="E549" s="16" t="inlineStr">
        <is>
          <t>Shipped</t>
        </is>
      </c>
      <c r="F549" s="16" t="inlineStr">
        <is>
          <t>MB-185R</t>
        </is>
      </c>
      <c r="G549" s="16" t="inlineStr">
        <is>
          <t>Bocina Radio FM/Reproductor, Compatible con Tarjeta TF, USB, Bluetooth, Aplicable para celular, computadora, Ipad y consola</t>
        </is>
      </c>
      <c r="H549" s="16" t="inlineStr">
        <is>
          <t>ROJO/MB-185</t>
        </is>
      </c>
      <c r="I549" s="16" t="n">
        <v>1</v>
      </c>
      <c r="J549" s="17" t="n">
        <v>75.5</v>
      </c>
      <c r="K549" s="17" t="n">
        <v>88.45999999999999</v>
      </c>
      <c r="L549" s="17" t="n">
        <v>25.86</v>
      </c>
      <c r="M549" s="17" t="n">
        <v>0</v>
      </c>
      <c r="N549" s="17">
        <f>K549*0.08+L549*0.08</f>
        <v/>
      </c>
      <c r="O549" s="17">
        <f>-(K549*0.025+L549*0.025)</f>
        <v/>
      </c>
      <c r="P549" s="17">
        <f>32</f>
        <v/>
      </c>
      <c r="Q549" s="17">
        <f>J549+L549+N549+O549-P549-M549</f>
        <v/>
      </c>
    </row>
    <row r="550">
      <c r="A550" s="16" t="inlineStr">
        <is>
          <t>5.8-5.14</t>
        </is>
      </c>
      <c r="B550" s="16" t="inlineStr">
        <is>
          <t>PO-128-09862465096312110</t>
        </is>
      </c>
      <c r="C550" s="16" t="inlineStr">
        <is>
          <t>Shipped</t>
        </is>
      </c>
      <c r="D550" s="16" t="inlineStr">
        <is>
          <t>128-09862423153272110</t>
        </is>
      </c>
      <c r="E550" s="16" t="inlineStr">
        <is>
          <t>Shipped</t>
        </is>
      </c>
      <c r="F550" s="16" t="inlineStr">
        <is>
          <t>MB-185R</t>
        </is>
      </c>
      <c r="G550" s="16" t="inlineStr">
        <is>
          <t>Bocina Radio FM/Reproductor, Compatible con Tarjeta TF, USB, Bluetooth, Aplicable para celular, computadora, Ipad y consola</t>
        </is>
      </c>
      <c r="H550" s="16" t="inlineStr">
        <is>
          <t>ROJO/MB-185</t>
        </is>
      </c>
      <c r="I550" s="16" t="n">
        <v>1</v>
      </c>
      <c r="J550" s="17" t="n">
        <v>75.5</v>
      </c>
      <c r="K550" s="17" t="n">
        <v>5.7</v>
      </c>
      <c r="L550" s="17" t="n">
        <v>25.86</v>
      </c>
      <c r="M550" s="17" t="n">
        <v>0</v>
      </c>
      <c r="N550" s="17">
        <f>K550*0.08+L550*0.08</f>
        <v/>
      </c>
      <c r="O550" s="17">
        <f>-(K550*0.025+L550*0.025)</f>
        <v/>
      </c>
      <c r="P550" s="17">
        <f>32</f>
        <v/>
      </c>
      <c r="Q550" s="17">
        <f>J550+L550+N550+O550-P550-M550</f>
        <v/>
      </c>
    </row>
    <row r="551">
      <c r="A551" s="16" t="inlineStr">
        <is>
          <t>5.8-5.14</t>
        </is>
      </c>
      <c r="B551" s="16" t="inlineStr">
        <is>
          <t>PO-128-09657868826233395</t>
        </is>
      </c>
      <c r="C551" s="16" t="inlineStr">
        <is>
          <t>Shipped</t>
        </is>
      </c>
      <c r="D551" s="16" t="inlineStr">
        <is>
          <t>128-09657847854713395</t>
        </is>
      </c>
      <c r="E551" s="16" t="inlineStr">
        <is>
          <t>Shipped</t>
        </is>
      </c>
      <c r="F551" s="16" t="inlineStr">
        <is>
          <t>SA320T-Y</t>
        </is>
      </c>
      <c r="G551" s="16" t="inlineStr">
        <is>
          <t>Altavoz inalámbrico portátil con Luces RGB, Radio FM y Manija - 5h Duración, TWS, TF Card, Compacto y Recargable via USB，Perfecto para viajes, fiestas y gaming</t>
        </is>
      </c>
      <c r="H551" s="16" t="inlineStr">
        <is>
          <t>amarillo</t>
        </is>
      </c>
      <c r="I551" s="16" t="n">
        <v>1</v>
      </c>
      <c r="J551" s="17" t="n">
        <v>60</v>
      </c>
      <c r="K551" s="17" t="n">
        <v>54.02</v>
      </c>
      <c r="L551" s="17" t="n">
        <v>25.86</v>
      </c>
      <c r="M551" s="17" t="n">
        <v>0</v>
      </c>
      <c r="N551" s="17">
        <f>K551*0.08+L551*0.08</f>
        <v/>
      </c>
      <c r="O551" s="17">
        <f>-(K551*0.025+L551*0.025)</f>
        <v/>
      </c>
      <c r="P551" s="17">
        <f>32</f>
        <v/>
      </c>
      <c r="Q551" s="17">
        <f>J551+L551+N551+O551-P551-M551</f>
        <v/>
      </c>
    </row>
    <row r="552">
      <c r="A552" s="16" t="inlineStr">
        <is>
          <t>5.8-5.14</t>
        </is>
      </c>
      <c r="B552" s="16" t="inlineStr">
        <is>
          <t>PO-128-09703811830393185</t>
        </is>
      </c>
      <c r="C552" s="16" t="inlineStr">
        <is>
          <t>Shipped</t>
        </is>
      </c>
      <c r="D552" s="16" t="inlineStr">
        <is>
          <t>128-09703790858873185</t>
        </is>
      </c>
      <c r="E552" s="16" t="inlineStr">
        <is>
          <t>Shipped</t>
        </is>
      </c>
      <c r="F552" s="16" t="inlineStr">
        <is>
          <t>MB-183N</t>
        </is>
      </c>
      <c r="G552" s="16" t="inlineStr">
        <is>
          <t>Linkbits Altavoz Bluetooth Portátil con Stereo Inalámbrico TWS Impermeable y a Prueba de Polvo IP65 Altavoz de Graves de Rango Completo de 52mm con Doble Unidad Ligero de 215g para Camping Senderismo y Fiestas al Aire Libre</t>
        </is>
      </c>
      <c r="H552" s="16" t="inlineStr">
        <is>
          <t>NEGRO/MB-183</t>
        </is>
      </c>
      <c r="I552" s="16" t="n">
        <v>1</v>
      </c>
      <c r="J552" s="17" t="n">
        <v>95</v>
      </c>
      <c r="K552" s="17" t="n">
        <v>106.14</v>
      </c>
      <c r="L552" s="17" t="n">
        <v>25.86</v>
      </c>
      <c r="M552" s="17" t="n">
        <v>0</v>
      </c>
      <c r="N552" s="17">
        <f>K552*0.08+L552*0.08</f>
        <v/>
      </c>
      <c r="O552" s="17">
        <f>-(K552*0.025+L552*0.025)</f>
        <v/>
      </c>
      <c r="P552" s="17">
        <f>32</f>
        <v/>
      </c>
      <c r="Q552" s="17">
        <f>J552+L552+N552+O552-P552-M552</f>
        <v/>
      </c>
    </row>
    <row r="553">
      <c r="A553" s="16" t="inlineStr">
        <is>
          <t>5.8-5.14</t>
        </is>
      </c>
      <c r="B553" s="16" t="inlineStr">
        <is>
          <t>PO-128-09765961324153839</t>
        </is>
      </c>
      <c r="C553" s="16" t="inlineStr">
        <is>
          <t>Shipped</t>
        </is>
      </c>
      <c r="D553" s="16" t="inlineStr">
        <is>
          <t>128-09765982295673839</t>
        </is>
      </c>
      <c r="E553" s="16" t="inlineStr">
        <is>
          <t>Shipped</t>
        </is>
      </c>
      <c r="F553" s="16" t="inlineStr">
        <is>
          <t>A500-N</t>
        </is>
      </c>
      <c r="G553" s="16" t="inlineStr">
        <is>
          <t>Bocina Bluetooth Portátil Barra de Sonido, Inalámbrica con FM Radio, TWS, USB/TF, Graves Potentes para Hogar y Exteriores</t>
        </is>
      </c>
      <c r="H553" s="16" t="inlineStr">
        <is>
          <t>NEGRO</t>
        </is>
      </c>
      <c r="I553" s="16" t="n">
        <v>1</v>
      </c>
      <c r="J553" s="17" t="n">
        <v>81.95999999999999</v>
      </c>
      <c r="K553" s="17" t="n">
        <v>94.8</v>
      </c>
      <c r="L553" s="17" t="n">
        <v>25.86</v>
      </c>
      <c r="M553" s="17" t="n">
        <v>0</v>
      </c>
      <c r="N553" s="17">
        <f>K553*0.08+L553*0.08</f>
        <v/>
      </c>
      <c r="O553" s="17">
        <f>-(K553*0.025+L553*0.025)</f>
        <v/>
      </c>
      <c r="P553" s="17">
        <f>32</f>
        <v/>
      </c>
      <c r="Q553" s="17">
        <f>J553+L553+N553+O553-P553-M553</f>
        <v/>
      </c>
    </row>
    <row r="554">
      <c r="A554" s="16" t="inlineStr">
        <is>
          <t>5.8-5.14</t>
        </is>
      </c>
      <c r="B554" s="16" t="inlineStr">
        <is>
          <t>PO-128-15265874547833825</t>
        </is>
      </c>
      <c r="C554" s="16" t="inlineStr">
        <is>
          <t>Shipped</t>
        </is>
      </c>
      <c r="D554" s="16" t="inlineStr">
        <is>
          <t>128-15265895519353825</t>
        </is>
      </c>
      <c r="E554" s="16" t="inlineStr">
        <is>
          <t>Shipped</t>
        </is>
      </c>
      <c r="F554" s="16" t="inlineStr">
        <is>
          <t>A500-A</t>
        </is>
      </c>
      <c r="G554" s="16" t="inlineStr">
        <is>
          <t>Bocina Bluetooth Portátil Barra de Sonido, Inalámbrica con FM Radio, TWS, USB/TF, Graves Potentes para Hogar y Exteriores</t>
        </is>
      </c>
      <c r="H554" s="16" t="inlineStr">
        <is>
          <t>AZUL</t>
        </is>
      </c>
      <c r="I554" s="16" t="n">
        <v>1</v>
      </c>
      <c r="J554" s="17" t="n">
        <v>78.88</v>
      </c>
      <c r="K554" s="17" t="n">
        <v>75.95</v>
      </c>
      <c r="L554" s="17" t="n">
        <v>25.86</v>
      </c>
      <c r="M554" s="17" t="n">
        <v>0</v>
      </c>
      <c r="N554" s="17">
        <f>K554*0.08+L554*0.08</f>
        <v/>
      </c>
      <c r="O554" s="17">
        <f>-(K554*0.025+L554*0.025)</f>
        <v/>
      </c>
      <c r="P554" s="17">
        <f>32</f>
        <v/>
      </c>
      <c r="Q554" s="17">
        <f>J554+L554+N554+O554-P554-M554</f>
        <v/>
      </c>
    </row>
    <row r="555">
      <c r="A555" s="16" t="inlineStr">
        <is>
          <t>5.8-5.14</t>
        </is>
      </c>
      <c r="B555" s="16" t="inlineStr">
        <is>
          <t>PO-128-15394760115833057</t>
        </is>
      </c>
      <c r="C555" s="16" t="inlineStr">
        <is>
          <t>Shipped</t>
        </is>
      </c>
      <c r="D555" s="16" t="inlineStr">
        <is>
          <t>128-15394718172793057</t>
        </is>
      </c>
      <c r="E555" s="16" t="inlineStr">
        <is>
          <t>Shipped</t>
        </is>
      </c>
      <c r="F555" s="16" t="inlineStr">
        <is>
          <t>A500-R</t>
        </is>
      </c>
      <c r="G555" s="16" t="inlineStr">
        <is>
          <t>Bocina Bluetooth Portátil Barra de Sonido, Inalámbrica con FM Radio, TWS, USB/TF, Graves Potentes para Hogar y Exteriores</t>
        </is>
      </c>
      <c r="H555" s="16" t="inlineStr">
        <is>
          <t>ROIO</t>
        </is>
      </c>
      <c r="I555" s="16" t="n">
        <v>1</v>
      </c>
      <c r="J555" s="17" t="n">
        <v>80</v>
      </c>
      <c r="K555" s="17" t="n">
        <v>7.71</v>
      </c>
      <c r="L555" s="17" t="n">
        <v>25.86</v>
      </c>
      <c r="M555" s="17" t="n">
        <v>0</v>
      </c>
      <c r="N555" s="17">
        <f>K555*0.08+L555*0.08</f>
        <v/>
      </c>
      <c r="O555" s="17">
        <f>-(K555*0.025+L555*0.025)</f>
        <v/>
      </c>
      <c r="P555" s="17">
        <f>32</f>
        <v/>
      </c>
      <c r="Q555" s="17">
        <f>J555+L555+N555+O555-P555-M555</f>
        <v/>
      </c>
    </row>
    <row r="556">
      <c r="A556" s="16" t="inlineStr">
        <is>
          <t>5.8-5.14</t>
        </is>
      </c>
      <c r="B556" s="16" t="inlineStr">
        <is>
          <t>PO-128-15509419648631157</t>
        </is>
      </c>
      <c r="C556" s="16" t="inlineStr">
        <is>
          <t>Shipped</t>
        </is>
      </c>
      <c r="D556" s="16" t="inlineStr">
        <is>
          <t>128-15509377705591157</t>
        </is>
      </c>
      <c r="E556" s="16" t="inlineStr">
        <is>
          <t>Shipped</t>
        </is>
      </c>
      <c r="F556" s="16" t="inlineStr">
        <is>
          <t>A500-N</t>
        </is>
      </c>
      <c r="G556" s="16" t="inlineStr">
        <is>
          <t>Bocina Bluetooth Portátil Barra de Sonido, Inalámbrica con FM Radio, TWS, USB/TF, Graves Potentes para Hogar y Exteriores</t>
        </is>
      </c>
      <c r="H556" s="16" t="inlineStr">
        <is>
          <t>NEGRO</t>
        </is>
      </c>
      <c r="I556" s="16" t="n">
        <v>1</v>
      </c>
      <c r="J556" s="17" t="n">
        <v>81.95999999999999</v>
      </c>
      <c r="K556" s="17" t="n">
        <v>80.58</v>
      </c>
      <c r="L556" s="17" t="n">
        <v>25.86</v>
      </c>
      <c r="M556" s="17" t="n">
        <v>0</v>
      </c>
      <c r="N556" s="17">
        <f>K556*0.08+L556*0.08</f>
        <v/>
      </c>
      <c r="O556" s="17">
        <f>-(K556*0.025+L556*0.025)</f>
        <v/>
      </c>
      <c r="P556" s="17">
        <f>32</f>
        <v/>
      </c>
      <c r="Q556" s="17">
        <f>J556+L556+N556+O556-P556-M556</f>
        <v/>
      </c>
    </row>
    <row r="557">
      <c r="A557" s="16" t="inlineStr">
        <is>
          <t>5.8-5.14</t>
        </is>
      </c>
      <c r="B557" s="16" t="inlineStr">
        <is>
          <t>PO-128-15215370317434060</t>
        </is>
      </c>
      <c r="C557" s="16" t="inlineStr">
        <is>
          <t>Shipped</t>
        </is>
      </c>
      <c r="D557" s="16" t="inlineStr">
        <is>
          <t>128-15215391288954060</t>
        </is>
      </c>
      <c r="E557" s="16" t="inlineStr">
        <is>
          <t>Shipped</t>
        </is>
      </c>
      <c r="F557" s="16" t="inlineStr">
        <is>
          <t>A500-N</t>
        </is>
      </c>
      <c r="G557" s="16" t="inlineStr">
        <is>
          <t>Bocina Bluetooth Portátil Barra de Sonido, Inalámbrica con FM Radio, TWS, USB/TF, Graves Potentes para Hogar y Exteriores</t>
        </is>
      </c>
      <c r="H557" s="16" t="inlineStr">
        <is>
          <t>NEGRO</t>
        </is>
      </c>
      <c r="I557" s="16" t="n">
        <v>1</v>
      </c>
      <c r="J557" s="17" t="n">
        <v>81.95999999999999</v>
      </c>
      <c r="K557" s="17" t="n">
        <v>94.8</v>
      </c>
      <c r="L557" s="17" t="n">
        <v>25.86</v>
      </c>
      <c r="M557" s="17" t="n">
        <v>0</v>
      </c>
      <c r="N557" s="17">
        <f>K557*0.08+L557*0.08</f>
        <v/>
      </c>
      <c r="O557" s="17">
        <f>-(K557*0.025+L557*0.025)</f>
        <v/>
      </c>
      <c r="P557" s="17">
        <f>32</f>
        <v/>
      </c>
      <c r="Q557" s="17">
        <f>J557+L557+N557+O557-P557-M557</f>
        <v/>
      </c>
    </row>
    <row r="558">
      <c r="A558" s="16" t="inlineStr">
        <is>
          <t>5.8-5.14</t>
        </is>
      </c>
      <c r="B558" s="16" t="inlineStr">
        <is>
          <t>PO-128-15424191688312689</t>
        </is>
      </c>
      <c r="C558" s="16" t="inlineStr">
        <is>
          <t>Shipped</t>
        </is>
      </c>
      <c r="D558" s="16" t="inlineStr">
        <is>
          <t>128-15424202174072689</t>
        </is>
      </c>
      <c r="E558" s="16" t="inlineStr">
        <is>
          <t>Shipped</t>
        </is>
      </c>
      <c r="F558" s="16" t="inlineStr">
        <is>
          <t>MB-185R</t>
        </is>
      </c>
      <c r="G558" s="16" t="inlineStr">
        <is>
          <t>Bocina Radio FM/Reproductor, Compatible con Tarjeta TF, USB, Bluetooth, Aplicable para celular, computadora, Ipad y consola</t>
        </is>
      </c>
      <c r="H558" s="16" t="inlineStr">
        <is>
          <t>ROJO/MB-185</t>
        </is>
      </c>
      <c r="I558" s="16" t="n">
        <v>1</v>
      </c>
      <c r="J558" s="17" t="n">
        <v>85</v>
      </c>
      <c r="K558" s="17" t="n">
        <v>87.43000000000001</v>
      </c>
      <c r="L558" s="17" t="n">
        <v>25.86</v>
      </c>
      <c r="M558" s="17" t="n">
        <v>0</v>
      </c>
      <c r="N558" s="17">
        <f>K558*0.08+L558*0.08</f>
        <v/>
      </c>
      <c r="O558" s="17">
        <f>-(K558*0.025+L558*0.025)</f>
        <v/>
      </c>
      <c r="P558" s="17">
        <f>32</f>
        <v/>
      </c>
      <c r="Q558" s="17">
        <f>J558+L558+N558+O558-P558-M558</f>
        <v/>
      </c>
    </row>
    <row r="559">
      <c r="A559" s="16" t="inlineStr">
        <is>
          <t>5.8-5.14</t>
        </is>
      </c>
      <c r="B559" s="16" t="inlineStr">
        <is>
          <t>PO-128-15536504067191058</t>
        </is>
      </c>
      <c r="C559" s="16" t="inlineStr">
        <is>
          <t>Shipped</t>
        </is>
      </c>
      <c r="D559" s="16" t="inlineStr">
        <is>
          <t>128-15536462124151058</t>
        </is>
      </c>
      <c r="E559" s="16" t="inlineStr">
        <is>
          <t>Shipped</t>
        </is>
      </c>
      <c r="F559" s="16" t="inlineStr">
        <is>
          <t>A500-N</t>
        </is>
      </c>
      <c r="G559" s="16" t="inlineStr">
        <is>
          <t>Bocina Bluetooth Portátil Barra de Sonido, Inalámbrica con FM Radio, TWS, USB/TF, Graves Potentes para Hogar y Exteriores</t>
        </is>
      </c>
      <c r="H559" s="16" t="inlineStr">
        <is>
          <t>NEGRO</t>
        </is>
      </c>
      <c r="I559" s="16" t="n">
        <v>1</v>
      </c>
      <c r="J559" s="17" t="n">
        <v>81.95999999999999</v>
      </c>
      <c r="K559" s="17" t="n">
        <v>43.08</v>
      </c>
      <c r="L559" s="17" t="n">
        <v>25.86</v>
      </c>
      <c r="M559" s="17" t="n">
        <v>0</v>
      </c>
      <c r="N559" s="17">
        <f>K559*0.08+L559*0.08</f>
        <v/>
      </c>
      <c r="O559" s="17">
        <f>-(K559*0.025+L559*0.025)</f>
        <v/>
      </c>
      <c r="P559" s="17">
        <f>32</f>
        <v/>
      </c>
      <c r="Q559" s="17">
        <f>J559+L559+N559+O559-P559-M559</f>
        <v/>
      </c>
    </row>
    <row r="560">
      <c r="A560" s="16" t="inlineStr">
        <is>
          <t>5.8-5.14</t>
        </is>
      </c>
      <c r="B560" s="16" t="inlineStr">
        <is>
          <t>PO-128-15316532063352307</t>
        </is>
      </c>
      <c r="C560" s="16" t="inlineStr">
        <is>
          <t>Shipped</t>
        </is>
      </c>
      <c r="D560" s="16" t="inlineStr">
        <is>
          <t>128-15316553034872307</t>
        </is>
      </c>
      <c r="E560" s="16" t="inlineStr">
        <is>
          <t>Shipped</t>
        </is>
      </c>
      <c r="F560" s="16" t="inlineStr">
        <is>
          <t>A500-A</t>
        </is>
      </c>
      <c r="G560" s="16" t="inlineStr">
        <is>
          <t>Bocina Bluetooth Portátil Barra de Sonido, Inalámbrica con FM Radio, TWS, USB/TF, Graves Potentes para Hogar y Exteriores</t>
        </is>
      </c>
      <c r="H560" s="16" t="inlineStr">
        <is>
          <t>AZUL</t>
        </is>
      </c>
      <c r="I560" s="16" t="n">
        <v>1</v>
      </c>
      <c r="J560" s="17" t="n">
        <v>78.88</v>
      </c>
      <c r="K560" s="17" t="n">
        <v>63.44</v>
      </c>
      <c r="L560" s="17" t="n">
        <v>25.86</v>
      </c>
      <c r="M560" s="17" t="n">
        <v>0</v>
      </c>
      <c r="N560" s="17">
        <f>K560*0.08+L560*0.08</f>
        <v/>
      </c>
      <c r="O560" s="17">
        <f>-(K560*0.025+L560*0.025)</f>
        <v/>
      </c>
      <c r="P560" s="17">
        <f>32</f>
        <v/>
      </c>
      <c r="Q560" s="17">
        <f>J560+L560+N560+O560-P560-M560</f>
        <v/>
      </c>
    </row>
    <row r="561">
      <c r="A561" s="16" t="inlineStr">
        <is>
          <t>5.8-5.14</t>
        </is>
      </c>
      <c r="B561" s="16" t="inlineStr">
        <is>
          <t>PO-128-15255152707193761</t>
        </is>
      </c>
      <c r="C561" s="16" t="inlineStr">
        <is>
          <t>Shipped</t>
        </is>
      </c>
      <c r="D561" s="16" t="inlineStr">
        <is>
          <t>128-15255178921593761</t>
        </is>
      </c>
      <c r="E561" s="16" t="inlineStr">
        <is>
          <t>Shipped</t>
        </is>
      </c>
      <c r="F561" s="16" t="inlineStr">
        <is>
          <t>A500-N</t>
        </is>
      </c>
      <c r="G561" s="16" t="inlineStr">
        <is>
          <t>Bocina Bluetooth Portátil Barra de Sonido, Inalámbrica con FM Radio, TWS, USB/TF, Graves Potentes para Hogar y Exteriores</t>
        </is>
      </c>
      <c r="H561" s="16" t="inlineStr">
        <is>
          <t>NEGRO</t>
        </is>
      </c>
      <c r="I561" s="16" t="n">
        <v>1</v>
      </c>
      <c r="J561" s="17" t="n">
        <v>81.95999999999999</v>
      </c>
      <c r="K561" s="17" t="n">
        <v>85.33</v>
      </c>
      <c r="L561" s="17" t="n">
        <v>25.86</v>
      </c>
      <c r="M561" s="17" t="n">
        <v>0</v>
      </c>
      <c r="N561" s="17">
        <f>K561*0.08+L561*0.08</f>
        <v/>
      </c>
      <c r="O561" s="17">
        <f>-(K561*0.025+L561*0.025)</f>
        <v/>
      </c>
      <c r="P561" s="17">
        <f>32</f>
        <v/>
      </c>
      <c r="Q561" s="17">
        <f>J561+L561+N561+O561-P561-M561</f>
        <v/>
      </c>
    </row>
    <row r="562">
      <c r="A562" s="16" t="inlineStr">
        <is>
          <t>5.8-5.14</t>
        </is>
      </c>
      <c r="B562" s="16" t="inlineStr">
        <is>
          <t>PO-128-15359174925432053</t>
        </is>
      </c>
      <c r="C562" s="16" t="inlineStr">
        <is>
          <t>Shipped</t>
        </is>
      </c>
      <c r="D562" s="16" t="inlineStr">
        <is>
          <t>128-15359132982392053</t>
        </is>
      </c>
      <c r="E562" s="16" t="inlineStr">
        <is>
          <t>Shipped</t>
        </is>
      </c>
      <c r="F562" s="16" t="inlineStr">
        <is>
          <t>A500-N</t>
        </is>
      </c>
      <c r="G562" s="16" t="inlineStr">
        <is>
          <t>Bocina Bluetooth Portátil Barra de Sonido, Inalámbrica con FM Radio, TWS, USB/TF, Graves Potentes para Hogar y Exteriores</t>
        </is>
      </c>
      <c r="H562" s="16" t="inlineStr">
        <is>
          <t>NEGRO</t>
        </is>
      </c>
      <c r="I562" s="16" t="n">
        <v>2</v>
      </c>
      <c r="J562" s="17" t="n">
        <v>163.92</v>
      </c>
      <c r="K562" s="17" t="n">
        <v>189.6</v>
      </c>
      <c r="L562" s="17" t="n">
        <v>25.86</v>
      </c>
      <c r="M562" s="17" t="n">
        <v>0</v>
      </c>
      <c r="N562" s="17">
        <f>K562*0.08+L562*0.08</f>
        <v/>
      </c>
      <c r="O562" s="17">
        <f>-(K562*0.025+L562*0.025)</f>
        <v/>
      </c>
      <c r="P562" s="17">
        <f>32</f>
        <v/>
      </c>
      <c r="Q562" s="17">
        <f>J562+L562+N562+O562-P562-M562</f>
        <v/>
      </c>
    </row>
    <row r="563">
      <c r="A563" s="16" t="inlineStr">
        <is>
          <t>5.8-5.14</t>
        </is>
      </c>
      <c r="B563" s="16" t="inlineStr">
        <is>
          <t>PO-128-15166576397433201</t>
        </is>
      </c>
      <c r="C563" s="16" t="inlineStr">
        <is>
          <t>Shipped</t>
        </is>
      </c>
      <c r="D563" s="16" t="inlineStr">
        <is>
          <t>128-15166534454393201</t>
        </is>
      </c>
      <c r="E563" s="16" t="inlineStr">
        <is>
          <t>Shipped</t>
        </is>
      </c>
      <c r="F563" s="16" t="inlineStr">
        <is>
          <t>SA320T-P</t>
        </is>
      </c>
      <c r="G563" s="16" t="inlineStr">
        <is>
          <t>Altavoz inalámbrico portátil con Luces RGB, Radio FM y Manija - 5h Duración, TWS, TF Card, Compacto y Recargable via USB，Perfecto para viajes, fiestas y gaming</t>
        </is>
      </c>
      <c r="H563" s="16" t="inlineStr">
        <is>
          <t>rosa</t>
        </is>
      </c>
      <c r="I563" s="16" t="n">
        <v>1</v>
      </c>
      <c r="J563" s="17" t="n">
        <v>63</v>
      </c>
      <c r="K563" s="17" t="n">
        <v>73.72</v>
      </c>
      <c r="L563" s="17" t="n">
        <v>25.86</v>
      </c>
      <c r="M563" s="17" t="n">
        <v>0</v>
      </c>
      <c r="N563" s="17">
        <f>K563*0.08+L563*0.08</f>
        <v/>
      </c>
      <c r="O563" s="17">
        <f>-(K563*0.025+L563*0.025)</f>
        <v/>
      </c>
      <c r="P563" s="17">
        <f>32</f>
        <v/>
      </c>
      <c r="Q563" s="17">
        <f>J563+L563+N563+O563-P563-M563</f>
        <v/>
      </c>
    </row>
    <row r="564">
      <c r="A564" s="16" t="inlineStr">
        <is>
          <t>5.8-5.14</t>
        </is>
      </c>
      <c r="B564" s="16" t="inlineStr">
        <is>
          <t>PO-128-15619225685111591</t>
        </is>
      </c>
      <c r="C564" s="16" t="inlineStr">
        <is>
          <t>Shipped</t>
        </is>
      </c>
      <c r="D564" s="16" t="inlineStr">
        <is>
          <t>128-15619183742071591</t>
        </is>
      </c>
      <c r="E564" s="16" t="inlineStr">
        <is>
          <t>Shipped</t>
        </is>
      </c>
      <c r="F564" s="16" t="inlineStr">
        <is>
          <t>A500-R</t>
        </is>
      </c>
      <c r="G564" s="16" t="inlineStr">
        <is>
          <t>Bocina Bluetooth Portátil Barra de Sonido, Inalámbrica con FM Radio, TWS, USB/TF, Graves Potentes para Hogar y Exteriores</t>
        </is>
      </c>
      <c r="H564" s="16" t="inlineStr">
        <is>
          <t>ROIO</t>
        </is>
      </c>
      <c r="I564" s="16" t="n">
        <v>1</v>
      </c>
      <c r="J564" s="17" t="n">
        <v>80</v>
      </c>
      <c r="K564" s="17" t="n">
        <v>7.71</v>
      </c>
      <c r="L564" s="17" t="n">
        <v>25.86</v>
      </c>
      <c r="M564" s="17" t="n">
        <v>0</v>
      </c>
      <c r="N564" s="17">
        <f>K564*0.08+L564*0.08</f>
        <v/>
      </c>
      <c r="O564" s="17">
        <f>-(K564*0.025+L564*0.025)</f>
        <v/>
      </c>
      <c r="P564" s="17">
        <f>32</f>
        <v/>
      </c>
      <c r="Q564" s="17">
        <f>J564+L564+N564+O564-P564-M564</f>
        <v/>
      </c>
    </row>
    <row r="565">
      <c r="A565" s="16" t="inlineStr">
        <is>
          <t>5.8-5.14</t>
        </is>
      </c>
      <c r="B565" s="16" t="inlineStr">
        <is>
          <t>PO-128-15635226255990407</t>
        </is>
      </c>
      <c r="C565" s="16" t="inlineStr">
        <is>
          <t>Shipped</t>
        </is>
      </c>
      <c r="D565" s="16" t="inlineStr">
        <is>
          <t>128-15635247227510407</t>
        </is>
      </c>
      <c r="E565" s="16" t="inlineStr">
        <is>
          <t>Shipped</t>
        </is>
      </c>
      <c r="F565" s="16" t="inlineStr">
        <is>
          <t>A500-N</t>
        </is>
      </c>
      <c r="G565" s="16" t="inlineStr">
        <is>
          <t>Bocina Bluetooth Portátil Barra de Sonido, Inalámbrica con FM Radio, TWS, USB/TF, Graves Potentes para Hogar y Exteriores</t>
        </is>
      </c>
      <c r="H565" s="16" t="inlineStr">
        <is>
          <t>NEGRO</t>
        </is>
      </c>
      <c r="I565" s="16" t="n">
        <v>1</v>
      </c>
      <c r="J565" s="17" t="n">
        <v>81.95999999999999</v>
      </c>
      <c r="K565" s="17" t="n">
        <v>84.89</v>
      </c>
      <c r="L565" s="17" t="n">
        <v>25.86</v>
      </c>
      <c r="M565" s="17" t="n">
        <v>0</v>
      </c>
      <c r="N565" s="17">
        <f>K565*0.08+L565*0.08</f>
        <v/>
      </c>
      <c r="O565" s="17">
        <f>-(K565*0.025+L565*0.025)</f>
        <v/>
      </c>
      <c r="P565" s="17">
        <f>32</f>
        <v/>
      </c>
      <c r="Q565" s="17">
        <f>J565+L565+N565+O565-P565-M565</f>
        <v/>
      </c>
    </row>
    <row r="566">
      <c r="A566" s="16" t="inlineStr">
        <is>
          <t>5.8-5.14</t>
        </is>
      </c>
      <c r="B566" s="16" t="inlineStr">
        <is>
          <t>PO-128-15420169452152713</t>
        </is>
      </c>
      <c r="C566" s="16" t="inlineStr">
        <is>
          <t>Shipped</t>
        </is>
      </c>
      <c r="D566" s="16" t="inlineStr">
        <is>
          <t>128-15420211395192713</t>
        </is>
      </c>
      <c r="E566" s="16" t="inlineStr">
        <is>
          <t>Shipped</t>
        </is>
      </c>
      <c r="F566" s="16" t="inlineStr">
        <is>
          <t>A500-N</t>
        </is>
      </c>
      <c r="G566" s="16" t="inlineStr">
        <is>
          <t>Bocina Bluetooth Portátil Barra de Sonido, Inalámbrica con FM Radio, TWS, USB/TF, Graves Potentes para Hogar y Exteriores</t>
        </is>
      </c>
      <c r="H566" s="16" t="inlineStr">
        <is>
          <t>NEGRO</t>
        </is>
      </c>
      <c r="I566" s="16" t="n">
        <v>1</v>
      </c>
      <c r="J566" s="17" t="n">
        <v>81.95999999999999</v>
      </c>
      <c r="K566" s="17" t="n">
        <v>12.04</v>
      </c>
      <c r="L566" s="17" t="n">
        <v>25.86</v>
      </c>
      <c r="M566" s="17" t="n">
        <v>0</v>
      </c>
      <c r="N566" s="17">
        <f>K566*0.08+L566*0.08</f>
        <v/>
      </c>
      <c r="O566" s="17">
        <f>-(K566*0.025+L566*0.025)</f>
        <v/>
      </c>
      <c r="P566" s="17">
        <f>32</f>
        <v/>
      </c>
      <c r="Q566" s="17">
        <f>J566+L566+N566+O566-P566-M566</f>
        <v/>
      </c>
    </row>
    <row r="567">
      <c r="A567" s="16" t="inlineStr">
        <is>
          <t>5.8-5.14</t>
        </is>
      </c>
      <c r="B567" s="16" t="inlineStr">
        <is>
          <t>PO-128-04308410261112510</t>
        </is>
      </c>
      <c r="C567" s="16" t="inlineStr">
        <is>
          <t>Shipped</t>
        </is>
      </c>
      <c r="D567" s="16" t="inlineStr">
        <is>
          <t>128-04308399283832510</t>
        </is>
      </c>
      <c r="E567" s="16" t="inlineStr">
        <is>
          <t>Shipped</t>
        </is>
      </c>
      <c r="F567" s="16" t="inlineStr">
        <is>
          <t>MB-185A</t>
        </is>
      </c>
      <c r="G567" s="16" t="inlineStr">
        <is>
          <t>Bocina Radio FM/Reproductor, Compatible con Tarjeta TF, USB, Bluetooth, Aplicable para celular, computadora, Ipad y consola</t>
        </is>
      </c>
      <c r="H567" s="16" t="inlineStr">
        <is>
          <t>AZUL/MB-185</t>
        </is>
      </c>
      <c r="I567" s="16" t="n">
        <v>1</v>
      </c>
      <c r="J567" s="17" t="n">
        <v>77.5</v>
      </c>
      <c r="K567" s="17" t="n">
        <v>72.36</v>
      </c>
      <c r="L567" s="17" t="n">
        <v>25.86</v>
      </c>
      <c r="M567" s="17" t="n">
        <v>0</v>
      </c>
      <c r="N567" s="17">
        <f>K567*0.08+L567*0.08</f>
        <v/>
      </c>
      <c r="O567" s="17">
        <f>-(K567*0.025+L567*0.025)</f>
        <v/>
      </c>
      <c r="P567" s="17">
        <f>32</f>
        <v/>
      </c>
      <c r="Q567" s="17">
        <f>J567+L567+N567+O567-P567-M567</f>
        <v/>
      </c>
    </row>
    <row r="568">
      <c r="A568" s="16" t="inlineStr">
        <is>
          <t>5.8-5.14</t>
        </is>
      </c>
      <c r="B568" s="16" t="inlineStr">
        <is>
          <t>PO-128-04242342648953928</t>
        </is>
      </c>
      <c r="C568" s="16" t="inlineStr">
        <is>
          <t>Shipped</t>
        </is>
      </c>
      <c r="D568" s="16" t="inlineStr">
        <is>
          <t>128-04242292841593928</t>
        </is>
      </c>
      <c r="E568" s="16" t="inlineStr">
        <is>
          <t>Shipped</t>
        </is>
      </c>
      <c r="F568" s="16" t="inlineStr">
        <is>
          <t>A500-N</t>
        </is>
      </c>
      <c r="G568" s="16" t="inlineStr">
        <is>
          <t>Bocina Bluetooth Portátil Barra de Sonido, Inalámbrica con FM Radio, TWS, USB/TF, Graves Potentes para Hogar y Exteriores</t>
        </is>
      </c>
      <c r="H568" s="16" t="inlineStr">
        <is>
          <t>NEGRO</t>
        </is>
      </c>
      <c r="I568" s="16" t="n">
        <v>1</v>
      </c>
      <c r="J568" s="17" t="n">
        <v>81.95999999999999</v>
      </c>
      <c r="K568" s="17" t="n">
        <v>70.08</v>
      </c>
      <c r="L568" s="17" t="n">
        <v>25.86</v>
      </c>
      <c r="M568" s="17" t="n">
        <v>0</v>
      </c>
      <c r="N568" s="17">
        <f>K568*0.08+L568*0.08</f>
        <v/>
      </c>
      <c r="O568" s="17">
        <f>-(K568*0.025+L568*0.025)</f>
        <v/>
      </c>
      <c r="P568" s="17">
        <f>32</f>
        <v/>
      </c>
      <c r="Q568" s="17">
        <f>J568+L568+N568+O568-P568-M568</f>
        <v/>
      </c>
    </row>
    <row r="569">
      <c r="A569" s="16" t="inlineStr">
        <is>
          <t>5.8-5.14</t>
        </is>
      </c>
      <c r="B569" s="16" t="inlineStr">
        <is>
          <t>PO-128-04204059418233196</t>
        </is>
      </c>
      <c r="C569" s="16" t="inlineStr">
        <is>
          <t>Shipped</t>
        </is>
      </c>
      <c r="D569" s="16" t="inlineStr">
        <is>
          <t>128-04204164275833196</t>
        </is>
      </c>
      <c r="E569" s="16" t="inlineStr">
        <is>
          <t>Shipped</t>
        </is>
      </c>
      <c r="F569" s="16" t="inlineStr">
        <is>
          <t>A500-A</t>
        </is>
      </c>
      <c r="G569" s="16" t="inlineStr">
        <is>
          <t>Bocina Bluetooth Portátil Barra de Sonido, Inalámbrica con FM Radio, TWS, USB/TF, Graves Potentes para Hogar y Exteriores</t>
        </is>
      </c>
      <c r="H569" s="16" t="inlineStr">
        <is>
          <t>AZUL</t>
        </is>
      </c>
      <c r="I569" s="16" t="n">
        <v>1</v>
      </c>
      <c r="J569" s="17" t="n">
        <v>78.88</v>
      </c>
      <c r="K569" s="17" t="n">
        <v>89.34999999999999</v>
      </c>
      <c r="L569" s="17" t="n">
        <v>25.86</v>
      </c>
      <c r="M569" s="17" t="n">
        <v>0</v>
      </c>
      <c r="N569" s="17">
        <f>K569*0.08+L569*0.08</f>
        <v/>
      </c>
      <c r="O569" s="17">
        <f>-(K569*0.025+L569*0.025)</f>
        <v/>
      </c>
      <c r="P569" s="17">
        <f>32</f>
        <v/>
      </c>
      <c r="Q569" s="17">
        <f>J569+L569+N569+O569-P569-M569</f>
        <v/>
      </c>
    </row>
    <row r="570">
      <c r="A570" s="16" t="inlineStr">
        <is>
          <t>5.8-5.14</t>
        </is>
      </c>
      <c r="B570" s="16" t="inlineStr">
        <is>
          <t>PO-128-04661742505590276</t>
        </is>
      </c>
      <c r="C570" s="16" t="inlineStr">
        <is>
          <t>Shipped</t>
        </is>
      </c>
      <c r="D570" s="16" t="inlineStr">
        <is>
          <t>128-04661755612790276</t>
        </is>
      </c>
      <c r="E570" s="16" t="inlineStr">
        <is>
          <t>Shipped</t>
        </is>
      </c>
      <c r="F570" s="16" t="inlineStr">
        <is>
          <t>A500-N</t>
        </is>
      </c>
      <c r="G570" s="16" t="inlineStr">
        <is>
          <t>Bocina Bluetooth Portátil Barra de Sonido, Inalámbrica con FM Radio, TWS, USB/TF, Graves Potentes para Hogar y Exteriores</t>
        </is>
      </c>
      <c r="H570" s="16" t="inlineStr">
        <is>
          <t>NEGRO</t>
        </is>
      </c>
      <c r="I570" s="16" t="n">
        <v>1</v>
      </c>
      <c r="J570" s="17" t="n">
        <v>81.95999999999999</v>
      </c>
      <c r="K570" s="17" t="n">
        <v>94.8</v>
      </c>
      <c r="L570" s="17" t="n">
        <v>25.86</v>
      </c>
      <c r="M570" s="17" t="n">
        <v>0</v>
      </c>
      <c r="N570" s="17">
        <f>K570*0.08+L570*0.08</f>
        <v/>
      </c>
      <c r="O570" s="17">
        <f>-(K570*0.025+L570*0.025)</f>
        <v/>
      </c>
      <c r="P570" s="17">
        <f>32</f>
        <v/>
      </c>
      <c r="Q570" s="17">
        <f>J570+L570+N570+O570-P570-M570</f>
        <v/>
      </c>
    </row>
    <row r="571">
      <c r="A571" s="16" t="inlineStr">
        <is>
          <t>5.8-5.14</t>
        </is>
      </c>
      <c r="B571" s="16" t="inlineStr">
        <is>
          <t>PO-128-04169363715193213</t>
        </is>
      </c>
      <c r="C571" s="16" t="inlineStr">
        <is>
          <t>Shipped</t>
        </is>
      </c>
      <c r="D571" s="16" t="inlineStr">
        <is>
          <t>128-04169405658233213</t>
        </is>
      </c>
      <c r="E571" s="16" t="inlineStr">
        <is>
          <t>Shipped</t>
        </is>
      </c>
      <c r="F571" s="16" t="inlineStr">
        <is>
          <t>MB-183N</t>
        </is>
      </c>
      <c r="G571" s="16" t="inlineStr">
        <is>
          <t>Linkbits Altavoz Bluetooth Portátil con Stereo Inalámbrico TWS Impermeable y a Prueba de Polvo IP65 Altavoz de Graves de Rango Completo de 52mm con Doble Unidad Ligero de 215g para Camping Senderismo y Fiestas al Aire Libre</t>
        </is>
      </c>
      <c r="H571" s="16" t="inlineStr">
        <is>
          <t>NEGRO/MB-183</t>
        </is>
      </c>
      <c r="I571" s="16" t="n">
        <v>1</v>
      </c>
      <c r="J571" s="17" t="n">
        <v>95</v>
      </c>
      <c r="K571" s="17" t="n">
        <v>112.39</v>
      </c>
      <c r="L571" s="17" t="n">
        <v>25.86</v>
      </c>
      <c r="M571" s="17" t="n">
        <v>0</v>
      </c>
      <c r="N571" s="17">
        <f>K571*0.08+L571*0.08</f>
        <v/>
      </c>
      <c r="O571" s="17">
        <f>-(K571*0.025+L571*0.025)</f>
        <v/>
      </c>
      <c r="P571" s="17">
        <f>32</f>
        <v/>
      </c>
      <c r="Q571" s="17">
        <f>J571+L571+N571+O571-P571-M571</f>
        <v/>
      </c>
    </row>
    <row r="572">
      <c r="A572" s="16" t="inlineStr">
        <is>
          <t>5.8-5.14</t>
        </is>
      </c>
      <c r="B572" s="16" t="inlineStr">
        <is>
          <t>PO-128-04513269763191163</t>
        </is>
      </c>
      <c r="C572" s="16" t="inlineStr">
        <is>
          <t>Shipped</t>
        </is>
      </c>
      <c r="D572" s="16" t="inlineStr">
        <is>
          <t>128-04513374620791163</t>
        </is>
      </c>
      <c r="E572" s="16" t="inlineStr">
        <is>
          <t>Shipped</t>
        </is>
      </c>
      <c r="F572" s="16" t="inlineStr">
        <is>
          <t>A500-R</t>
        </is>
      </c>
      <c r="G572" s="16" t="inlineStr">
        <is>
          <t>Bocina Bluetooth Portátil Barra de Sonido, Inalámbrica con FM Radio, TWS, USB/TF, Graves Potentes para Hogar y Exteriores</t>
        </is>
      </c>
      <c r="H572" s="16" t="inlineStr">
        <is>
          <t>ROIO</t>
        </is>
      </c>
      <c r="I572" s="16" t="n">
        <v>1</v>
      </c>
      <c r="J572" s="17" t="n">
        <v>80</v>
      </c>
      <c r="K572" s="17" t="n">
        <v>4.26</v>
      </c>
      <c r="L572" s="17" t="n">
        <v>25.86</v>
      </c>
      <c r="M572" s="17" t="n">
        <v>0</v>
      </c>
      <c r="N572" s="17">
        <f>K572*0.08+L572*0.08</f>
        <v/>
      </c>
      <c r="O572" s="17">
        <f>-(K572*0.025+L572*0.025)</f>
        <v/>
      </c>
      <c r="P572" s="17">
        <f>32</f>
        <v/>
      </c>
      <c r="Q572" s="17">
        <f>J572+L572+N572+O572-P572-M572</f>
        <v/>
      </c>
    </row>
    <row r="573">
      <c r="A573" s="16" t="inlineStr">
        <is>
          <t>5.8-5.14</t>
        </is>
      </c>
      <c r="B573" s="16" t="inlineStr">
        <is>
          <t>PO-128-04715846188150082</t>
        </is>
      </c>
      <c r="C573" s="16" t="inlineStr">
        <is>
          <t>Shipped</t>
        </is>
      </c>
      <c r="D573" s="16" t="inlineStr">
        <is>
          <t>128-04715867159670082</t>
        </is>
      </c>
      <c r="E573" s="16" t="inlineStr">
        <is>
          <t>Shipped</t>
        </is>
      </c>
      <c r="F573" s="16" t="inlineStr">
        <is>
          <t>SA320T-N</t>
        </is>
      </c>
      <c r="G573" s="16" t="inlineStr">
        <is>
          <t>Altavoz inalámbrico portátil con Luces RGB, Radio FM y Manija - 5h Duración, TWS, TF Card, Compacto y Recargable via USB，Perfecto para viajes, fiestas y gaming</t>
        </is>
      </c>
      <c r="H573" s="16" t="inlineStr">
        <is>
          <t>negro</t>
        </is>
      </c>
      <c r="I573" s="16" t="n">
        <v>2</v>
      </c>
      <c r="J573" s="17" t="n">
        <v>130</v>
      </c>
      <c r="K573" s="17" t="n">
        <v>99.73999999999999</v>
      </c>
      <c r="L573" s="17" t="n">
        <v>25.86</v>
      </c>
      <c r="M573" s="17" t="n">
        <v>0</v>
      </c>
      <c r="N573" s="17">
        <f>K573*0.08+L573*0.08</f>
        <v/>
      </c>
      <c r="O573" s="17">
        <f>-(K573*0.025+L573*0.025)</f>
        <v/>
      </c>
      <c r="P573" s="17">
        <f>32</f>
        <v/>
      </c>
      <c r="Q573" s="17">
        <f>J573+L573+N573+O573-P573-M573</f>
        <v/>
      </c>
    </row>
    <row r="574">
      <c r="A574" s="16" t="inlineStr">
        <is>
          <t>5.8-5.14</t>
        </is>
      </c>
      <c r="B574" s="16" t="inlineStr">
        <is>
          <t>PO-128-04743873439351005</t>
        </is>
      </c>
      <c r="C574" s="16" t="inlineStr">
        <is>
          <t>Shipped</t>
        </is>
      </c>
      <c r="D574" s="16" t="inlineStr">
        <is>
          <t>128-04743894410871005</t>
        </is>
      </c>
      <c r="E574" s="16" t="inlineStr">
        <is>
          <t>Shipped</t>
        </is>
      </c>
      <c r="F574" s="16" t="inlineStr">
        <is>
          <t>SA320T-A</t>
        </is>
      </c>
      <c r="G574" s="16" t="inlineStr">
        <is>
          <t>Altavoz inalámbrico portátil con Luces RGB, Radio FM y Manija - 5h Duración, TWS, TF Card, Compacto y Recargable via USB，Perfecto para viajes, fiestas y gaming</t>
        </is>
      </c>
      <c r="H574" s="16" t="inlineStr">
        <is>
          <t>azul</t>
        </is>
      </c>
      <c r="I574" s="16" t="n">
        <v>21</v>
      </c>
      <c r="J574" s="17" t="n">
        <v>1197</v>
      </c>
      <c r="K574" s="17" t="n">
        <v>1422.12</v>
      </c>
      <c r="L574" s="17" t="n">
        <v>0</v>
      </c>
      <c r="M574" s="17" t="n">
        <v>0</v>
      </c>
      <c r="N574" s="17">
        <f>K574*0.08+L574*0.08</f>
        <v/>
      </c>
      <c r="O574" s="17">
        <f>-(K574*0.025+L574*0.025)</f>
        <v/>
      </c>
      <c r="P574" s="17">
        <f>32</f>
        <v/>
      </c>
      <c r="Q574" s="17">
        <f>J574+L574+N574+O574-P574-M574</f>
        <v/>
      </c>
    </row>
    <row r="575">
      <c r="A575" s="16" t="inlineStr">
        <is>
          <t>5.8-5.14</t>
        </is>
      </c>
      <c r="B575" s="16" t="inlineStr">
        <is>
          <t>PO-128-04678176648310370</t>
        </is>
      </c>
      <c r="C575" s="16" t="inlineStr">
        <is>
          <t>Shipped</t>
        </is>
      </c>
      <c r="D575" s="16" t="inlineStr">
        <is>
          <t>128-04678166162550370</t>
        </is>
      </c>
      <c r="E575" s="16" t="inlineStr">
        <is>
          <t>Shipped</t>
        </is>
      </c>
      <c r="F575" s="16" t="inlineStr">
        <is>
          <t>SA320T-Y</t>
        </is>
      </c>
      <c r="G575" s="16" t="inlineStr">
        <is>
          <t>Altavoz inalámbrico portátil con Luces RGB, Radio FM y Manija - 5h Duración, TWS, TF Card, Compacto y Recargable via USB，Perfecto para viajes, fiestas y gaming</t>
        </is>
      </c>
      <c r="H575" s="16" t="inlineStr">
        <is>
          <t>amarillo</t>
        </is>
      </c>
      <c r="I575" s="16" t="n">
        <v>1</v>
      </c>
      <c r="J575" s="17" t="n">
        <v>60</v>
      </c>
      <c r="K575" s="17" t="n">
        <v>65.59</v>
      </c>
      <c r="L575" s="17" t="n">
        <v>25.86</v>
      </c>
      <c r="M575" s="17" t="n">
        <v>0</v>
      </c>
      <c r="N575" s="17">
        <f>K575*0.08+L575*0.08</f>
        <v/>
      </c>
      <c r="O575" s="17">
        <f>-(K575*0.025+L575*0.025)</f>
        <v/>
      </c>
      <c r="P575" s="17">
        <f>32</f>
        <v/>
      </c>
      <c r="Q575" s="17">
        <f>J575+L575+N575+O575-P575-M575</f>
        <v/>
      </c>
    </row>
    <row r="576">
      <c r="A576" s="16" t="inlineStr">
        <is>
          <t>5.8-5.14</t>
        </is>
      </c>
      <c r="B576" s="16" t="inlineStr">
        <is>
          <t>PO-128-04187099162233299</t>
        </is>
      </c>
      <c r="C576" s="16" t="inlineStr">
        <is>
          <t>Shipped</t>
        </is>
      </c>
      <c r="D576" s="16" t="inlineStr">
        <is>
          <t>128-04187114890873299</t>
        </is>
      </c>
      <c r="E576" s="16" t="inlineStr">
        <is>
          <t>Shipped</t>
        </is>
      </c>
      <c r="F576" s="16" t="inlineStr">
        <is>
          <t>A500-N</t>
        </is>
      </c>
      <c r="G576" s="16" t="inlineStr">
        <is>
          <t>Bocina Bluetooth Portátil Barra de Sonido, Inalámbrica con FM Radio, TWS, USB/TF, Graves Potentes para Hogar y Exteriores</t>
        </is>
      </c>
      <c r="H576" s="16" t="inlineStr">
        <is>
          <t>NEGRO</t>
        </is>
      </c>
      <c r="I576" s="16" t="n">
        <v>1</v>
      </c>
      <c r="J576" s="17" t="n">
        <v>81.95999999999999</v>
      </c>
      <c r="K576" s="17" t="n">
        <v>94.8</v>
      </c>
      <c r="L576" s="17" t="n">
        <v>25.86</v>
      </c>
      <c r="M576" s="17" t="n">
        <v>0</v>
      </c>
      <c r="N576" s="17">
        <f>K576*0.08+L576*0.08</f>
        <v/>
      </c>
      <c r="O576" s="17">
        <f>-(K576*0.025+L576*0.025)</f>
        <v/>
      </c>
      <c r="P576" s="17">
        <f>32</f>
        <v/>
      </c>
      <c r="Q576" s="17">
        <f>J576+L576+N576+O576-P576-M576</f>
        <v/>
      </c>
    </row>
    <row r="577">
      <c r="A577" s="16" t="inlineStr">
        <is>
          <t>5.8-5.14</t>
        </is>
      </c>
      <c r="B577" s="16" t="inlineStr">
        <is>
          <t>PO-128-04593282020471900</t>
        </is>
      </c>
      <c r="C577" s="16" t="inlineStr">
        <is>
          <t>Shipped</t>
        </is>
      </c>
      <c r="D577" s="16" t="inlineStr">
        <is>
          <t>128-04593313477751900</t>
        </is>
      </c>
      <c r="E577" s="16" t="inlineStr">
        <is>
          <t>Shipped</t>
        </is>
      </c>
      <c r="F577" s="16" t="inlineStr">
        <is>
          <t>MB-185A</t>
        </is>
      </c>
      <c r="G577" s="16" t="inlineStr">
        <is>
          <t>Bocina Radio FM/Reproductor, Compatible con Tarjeta TF, USB, Bluetooth, Aplicable para celular, computadora, Ipad y consola</t>
        </is>
      </c>
      <c r="H577" s="16" t="inlineStr">
        <is>
          <t>AZUL/MB-185</t>
        </is>
      </c>
      <c r="I577" s="16" t="n">
        <v>1</v>
      </c>
      <c r="J577" s="17" t="n">
        <v>77.5</v>
      </c>
      <c r="K577" s="17" t="n">
        <v>90.45</v>
      </c>
      <c r="L577" s="17" t="n">
        <v>25.86</v>
      </c>
      <c r="M577" s="17" t="n">
        <v>0</v>
      </c>
      <c r="N577" s="17">
        <f>K577*0.08+L577*0.08</f>
        <v/>
      </c>
      <c r="O577" s="17">
        <f>-(K577*0.025+L577*0.025)</f>
        <v/>
      </c>
      <c r="P577" s="17">
        <f>32</f>
        <v/>
      </c>
      <c r="Q577" s="17">
        <f>J577+L577+N577+O577-P577-M577</f>
        <v/>
      </c>
    </row>
    <row r="578">
      <c r="A578" s="16" t="inlineStr">
        <is>
          <t>5.8-5.14</t>
        </is>
      </c>
      <c r="B578" s="16" t="inlineStr">
        <is>
          <t>PO-128-04331065109112377</t>
        </is>
      </c>
      <c r="C578" s="16" t="inlineStr">
        <is>
          <t>Shipped</t>
        </is>
      </c>
      <c r="D578" s="16" t="inlineStr">
        <is>
          <t>128-04331169966712377</t>
        </is>
      </c>
      <c r="E578" s="16" t="inlineStr">
        <is>
          <t>Shipped</t>
        </is>
      </c>
      <c r="F578" s="16" t="inlineStr">
        <is>
          <t>MB-184R</t>
        </is>
      </c>
      <c r="G578" s="16" t="inlineStr">
        <is>
          <t>Linkbits Portable Bluetooth Speaker - 800W Peak Power, 50W Full-Range Audio with Dual Bass System &amp; Deep Bass Membranes, Powerful &amp; Distortion-Free Sound, IP65 Waterproof Dustproof, TWS Support &amp; 6H Battery for Outdoor/Party</t>
        </is>
      </c>
      <c r="H578" s="16" t="inlineStr">
        <is>
          <t>ROJO/MB-184</t>
        </is>
      </c>
      <c r="I578" s="16" t="n">
        <v>1</v>
      </c>
      <c r="J578" s="17" t="n">
        <v>592</v>
      </c>
      <c r="K578" s="17" t="n">
        <v>701.63</v>
      </c>
      <c r="L578" s="17" t="n">
        <v>0</v>
      </c>
      <c r="M578" s="17" t="n">
        <v>0</v>
      </c>
      <c r="N578" s="17">
        <f>K578*0.08+L578*0.08</f>
        <v/>
      </c>
      <c r="O578" s="17">
        <f>-(K578*0.025+L578*0.025)</f>
        <v/>
      </c>
      <c r="P578" s="17">
        <f>32</f>
        <v/>
      </c>
      <c r="Q578" s="17">
        <f>J578+L578+N578+O578-P578-M578</f>
        <v/>
      </c>
    </row>
    <row r="579">
      <c r="A579" s="16" t="inlineStr">
        <is>
          <t>5.8-5.14</t>
        </is>
      </c>
      <c r="B579" s="16" t="inlineStr">
        <is>
          <t>PO-128-04331065109112377</t>
        </is>
      </c>
      <c r="C579" s="16" t="inlineStr">
        <is>
          <t>Shipped</t>
        </is>
      </c>
      <c r="D579" s="16" t="inlineStr">
        <is>
          <t>128-04331128023672377</t>
        </is>
      </c>
      <c r="E579" s="16" t="inlineStr">
        <is>
          <t>Shipped</t>
        </is>
      </c>
      <c r="F579" s="16" t="inlineStr">
        <is>
          <t>MB-184N</t>
        </is>
      </c>
      <c r="G579" s="16" t="inlineStr">
        <is>
          <t>Linkbits Portable Bluetooth Speaker - 800W Peak Power, 50W Full-Range Audio with Dual Bass System &amp; Deep Bass Membranes, Powerful &amp; Distortion-Free Sound, IP65 Waterproof Dustproof, TWS Support &amp; 6H Battery for Outdoor/Party</t>
        </is>
      </c>
      <c r="H579" s="16" t="inlineStr">
        <is>
          <t>NEGRO/MB-184</t>
        </is>
      </c>
      <c r="I579" s="16" t="n">
        <v>1</v>
      </c>
      <c r="J579" s="17" t="n">
        <v>588.0599999999999</v>
      </c>
      <c r="K579" s="17" t="n">
        <v>697.6900000000001</v>
      </c>
      <c r="L579" s="17" t="n">
        <v>0</v>
      </c>
      <c r="M579" s="17" t="n">
        <v>0</v>
      </c>
      <c r="N579" s="17">
        <f>K579*0.08+L579*0.08</f>
        <v/>
      </c>
      <c r="O579" s="17">
        <f>-(K579*0.025+L579*0.025)</f>
        <v/>
      </c>
      <c r="P579" s="17">
        <f>32</f>
        <v/>
      </c>
      <c r="Q579" s="17">
        <f>J579+L579+N579+O579-P579-M579</f>
        <v/>
      </c>
    </row>
    <row r="580">
      <c r="A580" s="16" t="inlineStr">
        <is>
          <t>5.8-5.14</t>
        </is>
      </c>
      <c r="B580" s="16" t="inlineStr">
        <is>
          <t>PO-128-17129129831030847</t>
        </is>
      </c>
      <c r="C580" s="16" t="inlineStr">
        <is>
          <t>Shipped</t>
        </is>
      </c>
      <c r="D580" s="16" t="inlineStr">
        <is>
          <t>128-17129182259830847</t>
        </is>
      </c>
      <c r="E580" s="16" t="inlineStr">
        <is>
          <t>Shipped</t>
        </is>
      </c>
      <c r="F580" s="16" t="inlineStr">
        <is>
          <t>A500-R</t>
        </is>
      </c>
      <c r="G580" s="16" t="inlineStr">
        <is>
          <t>Bocina Bluetooth Portátil Barra de Sonido, Inalámbrica con FM Radio, TWS, USB/TF, Graves Potentes para Hogar y Exteriores</t>
        </is>
      </c>
      <c r="H580" s="16" t="inlineStr">
        <is>
          <t>ROIO</t>
        </is>
      </c>
      <c r="I580" s="16" t="n">
        <v>1</v>
      </c>
      <c r="J580" s="17" t="n">
        <v>78</v>
      </c>
      <c r="K580" s="17" t="n">
        <v>92.13</v>
      </c>
      <c r="L580" s="17" t="n">
        <v>25.86</v>
      </c>
      <c r="M580" s="17" t="n">
        <v>0</v>
      </c>
      <c r="N580" s="17">
        <f>K580*0.08+L580*0.08</f>
        <v/>
      </c>
      <c r="O580" s="17">
        <f>-(K580*0.025+L580*0.025)</f>
        <v/>
      </c>
      <c r="P580" s="17">
        <f>32</f>
        <v/>
      </c>
      <c r="Q580" s="17">
        <f>J580+L580+N580+O580-P580-M580</f>
        <v/>
      </c>
    </row>
    <row r="581">
      <c r="A581" s="16" t="inlineStr">
        <is>
          <t>5.8-5.14</t>
        </is>
      </c>
      <c r="B581" s="16" t="inlineStr">
        <is>
          <t>PO-128-16799574262392747</t>
        </is>
      </c>
      <c r="C581" s="16" t="inlineStr">
        <is>
          <t>Shipped</t>
        </is>
      </c>
      <c r="D581" s="16" t="inlineStr">
        <is>
          <t>128-16799616205432747</t>
        </is>
      </c>
      <c r="E581" s="16" t="inlineStr">
        <is>
          <t>Shipped</t>
        </is>
      </c>
      <c r="F581" s="16" t="inlineStr">
        <is>
          <t>F025</t>
        </is>
      </c>
      <c r="G581" s="16" t="inlineStr">
        <is>
          <t>Sopladora Turbo Inalámbrica 130000 RPM - Aire Comprimido Eléctrico con Batería 8400mAh, Carga Rápida 2.5H, Ajuste Infinito de Velocidad, Kit Limpieza Multiuso para PC, Coche, Hogar y Exteriores</t>
        </is>
      </c>
      <c r="H581" s="16" t="inlineStr">
        <is>
          <t>Unidad Individual/1Pieza</t>
        </is>
      </c>
      <c r="I581" s="16" t="n">
        <v>2</v>
      </c>
      <c r="J581" s="17" t="n">
        <v>288</v>
      </c>
      <c r="K581" s="17" t="n">
        <v>241.42</v>
      </c>
      <c r="L581" s="17" t="n">
        <v>0</v>
      </c>
      <c r="M581" s="17" t="n">
        <v>0</v>
      </c>
      <c r="N581" s="17">
        <f>K581*0.08+L581*0.08</f>
        <v/>
      </c>
      <c r="O581" s="17">
        <f>-(K581*0.025+L581*0.025)</f>
        <v/>
      </c>
      <c r="P581" s="17">
        <f>32</f>
        <v/>
      </c>
      <c r="Q581" s="17">
        <f>J581+L581+N581+O581-P581-M581</f>
        <v/>
      </c>
    </row>
    <row r="582">
      <c r="A582" s="16" t="inlineStr">
        <is>
          <t>5.8-5.14</t>
        </is>
      </c>
      <c r="B582" s="16" t="inlineStr">
        <is>
          <t>PO-128-16814661939832785</t>
        </is>
      </c>
      <c r="C582" s="16" t="inlineStr">
        <is>
          <t>Shipped</t>
        </is>
      </c>
      <c r="D582" s="16" t="inlineStr">
        <is>
          <t>128-16814651454072785</t>
        </is>
      </c>
      <c r="E582" s="16" t="inlineStr">
        <is>
          <t>Shipped</t>
        </is>
      </c>
      <c r="F582" s="16" t="inlineStr">
        <is>
          <t>SA320T-N</t>
        </is>
      </c>
      <c r="G582" s="16" t="inlineStr">
        <is>
          <t>Altavoz inalámbrico portátil con Luces RGB, Radio FM y Manija - 5h Duración, TWS, TF Card, Compacto y Recargable via USB，Perfecto para viajes, fiestas y gaming</t>
        </is>
      </c>
      <c r="H582" s="16" t="inlineStr">
        <is>
          <t>negro</t>
        </is>
      </c>
      <c r="I582" s="16" t="n">
        <v>1</v>
      </c>
      <c r="J582" s="17" t="n">
        <v>54</v>
      </c>
      <c r="K582" s="17" t="n">
        <v>64.73</v>
      </c>
      <c r="L582" s="17" t="n">
        <v>25.86</v>
      </c>
      <c r="M582" s="17" t="n">
        <v>0</v>
      </c>
      <c r="N582" s="17">
        <f>K582*0.08+L582*0.08</f>
        <v/>
      </c>
      <c r="O582" s="17">
        <f>-(K582*0.025+L582*0.025)</f>
        <v/>
      </c>
      <c r="P582" s="17">
        <f>32</f>
        <v/>
      </c>
      <c r="Q582" s="17">
        <f>J582+L582+N582+O582-P582-M582</f>
        <v/>
      </c>
    </row>
    <row r="583">
      <c r="A583" s="16" t="inlineStr">
        <is>
          <t>5.8-5.14</t>
        </is>
      </c>
      <c r="B583" s="16" t="inlineStr">
        <is>
          <t>PO-128-16764676280953019</t>
        </is>
      </c>
      <c r="C583" s="16" t="inlineStr">
        <is>
          <t>Shipped</t>
        </is>
      </c>
      <c r="D583" s="16" t="inlineStr">
        <is>
          <t>128-16764718223993019</t>
        </is>
      </c>
      <c r="E583" s="16" t="inlineStr">
        <is>
          <t>Shipped</t>
        </is>
      </c>
      <c r="F583" s="16" t="inlineStr">
        <is>
          <t>MB-183N</t>
        </is>
      </c>
      <c r="G583" s="16" t="inlineStr">
        <is>
          <t>Linkbits Altavoz Bluetooth Portátil con Stereo Inalámbrico TWS Impermeable y a Prueba de Polvo IP65 Altavoz de Graves de Rango Completo de 52mm con Doble Unidad Ligero de 215g para Camping Senderismo y Fiestas al Aire Libre</t>
        </is>
      </c>
      <c r="H583" s="16" t="inlineStr">
        <is>
          <t>NEGRO/MB-183</t>
        </is>
      </c>
      <c r="I583" s="16" t="n">
        <v>1</v>
      </c>
      <c r="J583" s="17" t="n">
        <v>80</v>
      </c>
      <c r="K583" s="17" t="n">
        <v>97.39</v>
      </c>
      <c r="L583" s="17" t="n">
        <v>25.86</v>
      </c>
      <c r="M583" s="17" t="n">
        <v>0</v>
      </c>
      <c r="N583" s="17">
        <f>K583*0.08+L583*0.08</f>
        <v/>
      </c>
      <c r="O583" s="17">
        <f>-(K583*0.025+L583*0.025)</f>
        <v/>
      </c>
      <c r="P583" s="17">
        <f>32</f>
        <v/>
      </c>
      <c r="Q583" s="17">
        <f>J583+L583+N583+O583-P583-M583</f>
        <v/>
      </c>
    </row>
    <row r="584">
      <c r="A584" s="16" t="inlineStr">
        <is>
          <t>5.8-5.14</t>
        </is>
      </c>
      <c r="B584" s="16" t="inlineStr">
        <is>
          <t>PO-128-16604233390713846</t>
        </is>
      </c>
      <c r="C584" s="16" t="inlineStr">
        <is>
          <t>Shipped</t>
        </is>
      </c>
      <c r="D584" s="16" t="inlineStr">
        <is>
          <t>128-16604222904953846</t>
        </is>
      </c>
      <c r="E584" s="16" t="inlineStr">
        <is>
          <t>Shipped</t>
        </is>
      </c>
      <c r="F584" s="16" t="inlineStr">
        <is>
          <t>MB-185N</t>
        </is>
      </c>
      <c r="G584" s="16" t="inlineStr">
        <is>
          <t>Bocina Radio FM/Reproductor, Compatible con Tarjeta TF, USB, Bluetooth, Aplicable para celular, computadora, Ipad y consola</t>
        </is>
      </c>
      <c r="H584" s="16" t="inlineStr">
        <is>
          <t>NEGRO/MB-185</t>
        </is>
      </c>
      <c r="I584" s="16" t="n">
        <v>1</v>
      </c>
      <c r="J584" s="17" t="n">
        <v>66</v>
      </c>
      <c r="K584" s="17" t="n">
        <v>78.95999999999999</v>
      </c>
      <c r="L584" s="17" t="n">
        <v>25.86</v>
      </c>
      <c r="M584" s="17" t="n">
        <v>0</v>
      </c>
      <c r="N584" s="17">
        <f>K584*0.08+L584*0.08</f>
        <v/>
      </c>
      <c r="O584" s="17">
        <f>-(K584*0.025+L584*0.025)</f>
        <v/>
      </c>
      <c r="P584" s="17">
        <f>32</f>
        <v/>
      </c>
      <c r="Q584" s="17">
        <f>J584+L584+N584+O584-P584-M584</f>
        <v/>
      </c>
    </row>
    <row r="585">
      <c r="A585" s="16" t="inlineStr">
        <is>
          <t>5.8-5.14</t>
        </is>
      </c>
      <c r="B585" s="16" t="inlineStr">
        <is>
          <t>PO-128-16687960069752325</t>
        </is>
      </c>
      <c r="C585" s="16" t="inlineStr">
        <is>
          <t>Shipped</t>
        </is>
      </c>
      <c r="D585" s="16" t="inlineStr">
        <is>
          <t>128-16687949583992325</t>
        </is>
      </c>
      <c r="E585" s="16" t="inlineStr">
        <is>
          <t>Shipped</t>
        </is>
      </c>
      <c r="F585" s="16" t="inlineStr">
        <is>
          <t>A500-N</t>
        </is>
      </c>
      <c r="G585" s="16" t="inlineStr">
        <is>
          <t>Bocina Bluetooth Portátil Barra de Sonido, Inalámbrica con FM Radio, TWS, USB/TF, Graves Potentes para Hogar y Exteriores</t>
        </is>
      </c>
      <c r="H585" s="16" t="inlineStr">
        <is>
          <t>NEGRO</t>
        </is>
      </c>
      <c r="I585" s="16" t="n">
        <v>1</v>
      </c>
      <c r="J585" s="17" t="n">
        <v>79</v>
      </c>
      <c r="K585" s="17" t="n">
        <v>91.84</v>
      </c>
      <c r="L585" s="17" t="n">
        <v>25.86</v>
      </c>
      <c r="M585" s="17" t="n">
        <v>0</v>
      </c>
      <c r="N585" s="17">
        <f>K585*0.08+L585*0.08</f>
        <v/>
      </c>
      <c r="O585" s="17">
        <f>-(K585*0.025+L585*0.025)</f>
        <v/>
      </c>
      <c r="P585" s="17">
        <f>32</f>
        <v/>
      </c>
      <c r="Q585" s="17">
        <f>J585+L585+N585+O585-P585-M585</f>
        <v/>
      </c>
    </row>
    <row r="586">
      <c r="A586" s="16" t="inlineStr">
        <is>
          <t>5.8-5.14</t>
        </is>
      </c>
      <c r="B586" s="16" t="inlineStr">
        <is>
          <t>PO-128-16965594839671692</t>
        </is>
      </c>
      <c r="C586" s="16" t="inlineStr">
        <is>
          <t>Shipped</t>
        </is>
      </c>
      <c r="D586" s="16" t="inlineStr">
        <is>
          <t>128-16965552896631692</t>
        </is>
      </c>
      <c r="E586" s="16" t="inlineStr">
        <is>
          <t>Shipped</t>
        </is>
      </c>
      <c r="F586" s="16" t="inlineStr">
        <is>
          <t>MB-183R</t>
        </is>
      </c>
      <c r="G586" s="16" t="inlineStr">
        <is>
          <t>Linkbits Altavoz Bluetooth Portátil con Stereo Inalámbrico TWS Impermeable y a Prueba de Polvo IP65 Altavoz de Graves de Rango Completo de 52mm con Doble Unidad Ligero de 215g para Camping Senderismo y Fiestas al Aire Libre</t>
        </is>
      </c>
      <c r="H586" s="16" t="inlineStr">
        <is>
          <t>ROJO/MB-183</t>
        </is>
      </c>
      <c r="I586" s="16" t="n">
        <v>1</v>
      </c>
      <c r="J586" s="17" t="n">
        <v>68.5</v>
      </c>
      <c r="K586" s="17" t="n">
        <v>85.89</v>
      </c>
      <c r="L586" s="17" t="n">
        <v>25.86</v>
      </c>
      <c r="M586" s="17" t="n">
        <v>0</v>
      </c>
      <c r="N586" s="17">
        <f>K586*0.08+L586*0.08</f>
        <v/>
      </c>
      <c r="O586" s="17">
        <f>-(K586*0.025+L586*0.025)</f>
        <v/>
      </c>
      <c r="P586" s="17">
        <f>32</f>
        <v/>
      </c>
      <c r="Q586" s="17">
        <f>J586+L586+N586+O586-P586-M586</f>
        <v/>
      </c>
    </row>
    <row r="587">
      <c r="A587" s="16" t="inlineStr">
        <is>
          <t>5.8-5.14</t>
        </is>
      </c>
      <c r="B587" s="16" t="inlineStr">
        <is>
          <t>PO-128-05979139881591704</t>
        </is>
      </c>
      <c r="C587" s="16" t="inlineStr">
        <is>
          <t>Shipped</t>
        </is>
      </c>
      <c r="D587" s="16" t="inlineStr">
        <is>
          <t>128-05979087452791704</t>
        </is>
      </c>
      <c r="E587" s="16" t="inlineStr">
        <is>
          <t>Shipped</t>
        </is>
      </c>
      <c r="F587" s="16" t="inlineStr">
        <is>
          <t>MB-183B</t>
        </is>
      </c>
      <c r="G587" s="16" t="inlineStr">
        <is>
          <t>Linkbits Altavoz Bluetooth Portátil con Stereo Inalámbrico TWS Impermeable y a Prueba de Polvo IP65 Altavoz de Graves de Rango Completo de 52mm con Doble Unidad Ligero de 215g para Camping Senderismo y Fiestas al Aire Libre</t>
        </is>
      </c>
      <c r="H587" s="16" t="inlineStr">
        <is>
          <t>AZUL/MB-183</t>
        </is>
      </c>
      <c r="I587" s="16" t="n">
        <v>1</v>
      </c>
      <c r="J587" s="17" t="n">
        <v>80</v>
      </c>
      <c r="K587" s="17" t="n">
        <v>93.11</v>
      </c>
      <c r="L587" s="17" t="n">
        <v>25.86</v>
      </c>
      <c r="M587" s="17" t="n">
        <v>0</v>
      </c>
      <c r="N587" s="17">
        <f>K587*0.08+L587*0.08</f>
        <v/>
      </c>
      <c r="O587" s="17">
        <f>-(K587*0.025+L587*0.025)</f>
        <v/>
      </c>
      <c r="P587" s="17">
        <f>32</f>
        <v/>
      </c>
      <c r="Q587" s="17">
        <f>J587+L587+N587+O587-P587-M587</f>
        <v/>
      </c>
    </row>
    <row r="588">
      <c r="A588" s="16" t="inlineStr">
        <is>
          <t>5.8-5.14</t>
        </is>
      </c>
      <c r="B588" s="16" t="inlineStr">
        <is>
          <t>PO-128-05575899495033148</t>
        </is>
      </c>
      <c r="C588" s="16" t="inlineStr">
        <is>
          <t>Shipped</t>
        </is>
      </c>
      <c r="D588" s="16" t="inlineStr">
        <is>
          <t>128-05575857551993148</t>
        </is>
      </c>
      <c r="E588" s="16" t="inlineStr">
        <is>
          <t>Shipped</t>
        </is>
      </c>
      <c r="F588" s="16" t="inlineStr">
        <is>
          <t>A500-A</t>
        </is>
      </c>
      <c r="G588" s="16" t="inlineStr">
        <is>
          <t>Bocina Bluetooth Portátil Barra de Sonido, Inalámbrica con FM Radio, TWS, USB/TF, Graves Potentes para Hogar y Exteriores</t>
        </is>
      </c>
      <c r="H588" s="16" t="inlineStr">
        <is>
          <t>AZUL</t>
        </is>
      </c>
      <c r="I588" s="16" t="n">
        <v>1</v>
      </c>
      <c r="J588" s="17" t="n">
        <v>72</v>
      </c>
      <c r="K588" s="17" t="n">
        <v>86.16</v>
      </c>
      <c r="L588" s="17" t="n">
        <v>25.86</v>
      </c>
      <c r="M588" s="17" t="n">
        <v>0</v>
      </c>
      <c r="N588" s="17">
        <f>K588*0.08+L588*0.08</f>
        <v/>
      </c>
      <c r="O588" s="17">
        <f>-(K588*0.025+L588*0.025)</f>
        <v/>
      </c>
      <c r="P588" s="17">
        <f>32</f>
        <v/>
      </c>
      <c r="Q588" s="17">
        <f>J588+L588+N588+O588-P588-M588</f>
        <v/>
      </c>
    </row>
    <row r="589">
      <c r="A589" s="16" t="inlineStr">
        <is>
          <t>5.8-5.14</t>
        </is>
      </c>
      <c r="B589" s="16" t="inlineStr">
        <is>
          <t>PO-128-06053604209270364</t>
        </is>
      </c>
      <c r="C589" s="16" t="inlineStr">
        <is>
          <t>Shipped</t>
        </is>
      </c>
      <c r="D589" s="16" t="inlineStr">
        <is>
          <t>128-06053646152310364</t>
        </is>
      </c>
      <c r="E589" s="16" t="inlineStr">
        <is>
          <t>Shipped</t>
        </is>
      </c>
      <c r="F589" s="16" t="inlineStr">
        <is>
          <t>MB-185N</t>
        </is>
      </c>
      <c r="G589" s="16" t="inlineStr">
        <is>
          <t>Bocina Radio FM/Reproductor, Compatible con Tarjeta TF, USB, Bluetooth, Aplicable para celular, computadora, Ipad y consola</t>
        </is>
      </c>
      <c r="H589" s="16" t="inlineStr">
        <is>
          <t>NEGRO/MB-185</t>
        </is>
      </c>
      <c r="I589" s="16" t="n">
        <v>1</v>
      </c>
      <c r="J589" s="17" t="n">
        <v>66</v>
      </c>
      <c r="K589" s="17" t="n">
        <v>63.18</v>
      </c>
      <c r="L589" s="17" t="n">
        <v>25.86</v>
      </c>
      <c r="M589" s="17" t="n">
        <v>0</v>
      </c>
      <c r="N589" s="17">
        <f>K589*0.08+L589*0.08</f>
        <v/>
      </c>
      <c r="O589" s="17">
        <f>-(K589*0.025+L589*0.025)</f>
        <v/>
      </c>
      <c r="P589" s="17">
        <f>32</f>
        <v/>
      </c>
      <c r="Q589" s="17">
        <f>J589+L589+N589+O589-P589-M589</f>
        <v/>
      </c>
    </row>
    <row r="590">
      <c r="A590" s="16" t="inlineStr">
        <is>
          <t>5.8-5.14</t>
        </is>
      </c>
      <c r="B590" s="16" t="inlineStr">
        <is>
          <t>PO-128-05993670144631555</t>
        </is>
      </c>
      <c r="C590" s="16" t="inlineStr">
        <is>
          <t>Shipped</t>
        </is>
      </c>
      <c r="D590" s="16" t="inlineStr">
        <is>
          <t>128-05993822188151555</t>
        </is>
      </c>
      <c r="E590" s="16" t="inlineStr">
        <is>
          <t>Shipped</t>
        </is>
      </c>
      <c r="F590" s="16" t="inlineStr">
        <is>
          <t>SA320T-Y</t>
        </is>
      </c>
      <c r="G590" s="16" t="inlineStr">
        <is>
          <t>Altavoz inalámbrico portátil con Luces RGB, Radio FM y Manija - 5h Duración, TWS, TF Card, Compacto y Recargable via USB，Perfecto para viajes, fiestas y gaming</t>
        </is>
      </c>
      <c r="H590" s="16" t="inlineStr">
        <is>
          <t>amarillo</t>
        </is>
      </c>
      <c r="I590" s="16" t="n">
        <v>1</v>
      </c>
      <c r="J590" s="17" t="n">
        <v>49</v>
      </c>
      <c r="K590" s="17" t="n">
        <v>16.08</v>
      </c>
      <c r="L590" s="17" t="n">
        <v>25.86</v>
      </c>
      <c r="M590" s="17" t="n">
        <v>0</v>
      </c>
      <c r="N590" s="17">
        <f>K590*0.08+L590*0.08</f>
        <v/>
      </c>
      <c r="O590" s="17">
        <f>-(K590*0.025+L590*0.025)</f>
        <v/>
      </c>
      <c r="P590" s="17">
        <f>32</f>
        <v/>
      </c>
      <c r="Q590" s="17">
        <f>J590+L590+N590+O590-P590-M590</f>
        <v/>
      </c>
    </row>
    <row r="591">
      <c r="A591" s="16" t="inlineStr">
        <is>
          <t>5.8-5.14</t>
        </is>
      </c>
      <c r="B591" s="16" t="inlineStr">
        <is>
          <t>PO-128-05990017587831769</t>
        </is>
      </c>
      <c r="C591" s="16" t="inlineStr">
        <is>
          <t>Shipped</t>
        </is>
      </c>
      <c r="D591" s="16" t="inlineStr">
        <is>
          <t>128-05989980887671769</t>
        </is>
      </c>
      <c r="E591" s="16" t="inlineStr">
        <is>
          <t>Shipped</t>
        </is>
      </c>
      <c r="F591" s="16" t="inlineStr">
        <is>
          <t>MB-185N</t>
        </is>
      </c>
      <c r="G591" s="16" t="inlineStr">
        <is>
          <t>Bocina Radio FM/Reproductor, Compatible con Tarjeta TF, USB, Bluetooth, Aplicable para celular, computadora, Ipad y consola</t>
        </is>
      </c>
      <c r="H591" s="16" t="inlineStr">
        <is>
          <t>NEGRO/MB-185</t>
        </is>
      </c>
      <c r="I591" s="16" t="n">
        <v>1</v>
      </c>
      <c r="J591" s="17" t="n">
        <v>66</v>
      </c>
      <c r="K591" s="17" t="n">
        <v>78.95999999999999</v>
      </c>
      <c r="L591" s="17" t="n">
        <v>25.86</v>
      </c>
      <c r="M591" s="17" t="n">
        <v>0</v>
      </c>
      <c r="N591" s="17">
        <f>K591*0.08+L591*0.08</f>
        <v/>
      </c>
      <c r="O591" s="17">
        <f>-(K591*0.025+L591*0.025)</f>
        <v/>
      </c>
      <c r="P591" s="17">
        <f>32</f>
        <v/>
      </c>
      <c r="Q591" s="17">
        <f>J591+L591+N591+O591-P591-M591</f>
        <v/>
      </c>
    </row>
    <row r="592">
      <c r="A592" s="16" t="inlineStr">
        <is>
          <t>5.8-5.14</t>
        </is>
      </c>
      <c r="B592" s="16" t="inlineStr">
        <is>
          <t>PO-128-11601967311990959</t>
        </is>
      </c>
      <c r="C592" s="16" t="inlineStr">
        <is>
          <t>Shipped</t>
        </is>
      </c>
      <c r="D592" s="16" t="inlineStr">
        <is>
          <t>128-11602103626870959</t>
        </is>
      </c>
      <c r="E592" s="16" t="inlineStr">
        <is>
          <t>Shipped</t>
        </is>
      </c>
      <c r="F592" s="16" t="inlineStr">
        <is>
          <t>A500-N</t>
        </is>
      </c>
      <c r="G592" s="16" t="inlineStr">
        <is>
          <t>Bocina Bluetooth Portátil Barra de Sonido, Inalámbrica con FM Radio, TWS, USB/TF, Graves Potentes para Hogar y Exteriores</t>
        </is>
      </c>
      <c r="H592" s="16" t="inlineStr">
        <is>
          <t>NEGRO</t>
        </is>
      </c>
      <c r="I592" s="16" t="n">
        <v>1</v>
      </c>
      <c r="J592" s="17" t="n">
        <v>81.95999999999999</v>
      </c>
      <c r="K592" s="17" t="n">
        <v>75.86</v>
      </c>
      <c r="L592" s="17" t="n">
        <v>25.86</v>
      </c>
      <c r="M592" s="17" t="n">
        <v>0</v>
      </c>
      <c r="N592" s="17">
        <f>K592*0.08+L592*0.08</f>
        <v/>
      </c>
      <c r="O592" s="17">
        <f>-(K592*0.025+L592*0.025)</f>
        <v/>
      </c>
      <c r="P592" s="17">
        <f>32</f>
        <v/>
      </c>
      <c r="Q592" s="17">
        <f>J592+L592+N592+O592-P592-M592</f>
        <v/>
      </c>
    </row>
    <row r="593">
      <c r="A593" s="16" t="inlineStr">
        <is>
          <t>5.8-5.14</t>
        </is>
      </c>
      <c r="B593" s="16" t="inlineStr">
        <is>
          <t>PO-128-00060175073913320</t>
        </is>
      </c>
      <c r="C593" s="16" t="inlineStr">
        <is>
          <t>Shipped</t>
        </is>
      </c>
      <c r="D593" s="16" t="inlineStr">
        <is>
          <t>128-00060196045433320</t>
        </is>
      </c>
      <c r="E593" s="16" t="inlineStr">
        <is>
          <t>Shipped</t>
        </is>
      </c>
      <c r="F593" s="16" t="inlineStr">
        <is>
          <t>SA320T-Y</t>
        </is>
      </c>
      <c r="G593" s="16" t="inlineStr">
        <is>
          <t>Altavoz inalámbrico portátil con Luces RGB, Radio FM y Manija - 5h Duración, TWS, TF Card, Compacto y Recargable via USB，Perfecto para viajes, fiestas y gaming</t>
        </is>
      </c>
      <c r="H593" s="16" t="inlineStr">
        <is>
          <t>amarillo</t>
        </is>
      </c>
      <c r="I593" s="16" t="n">
        <v>1</v>
      </c>
      <c r="J593" s="17" t="n">
        <v>60</v>
      </c>
      <c r="K593" s="17" t="n">
        <v>46.7</v>
      </c>
      <c r="L593" s="17" t="n">
        <v>25.86</v>
      </c>
      <c r="M593" s="17" t="n">
        <v>0</v>
      </c>
      <c r="N593" s="17">
        <f>K593*0.08+L593*0.08</f>
        <v/>
      </c>
      <c r="O593" s="17">
        <f>-(K593*0.025+L593*0.025)</f>
        <v/>
      </c>
      <c r="P593" s="17">
        <f>32</f>
        <v/>
      </c>
      <c r="Q593" s="17">
        <f>J593+L593+N593+O593-P593-M593</f>
        <v/>
      </c>
    </row>
    <row r="594">
      <c r="A594" s="16" t="inlineStr">
        <is>
          <t>5.8-5.14</t>
        </is>
      </c>
      <c r="B594" s="16" t="inlineStr">
        <is>
          <t>PO-128-15372242906232167</t>
        </is>
      </c>
      <c r="C594" s="16" t="inlineStr">
        <is>
          <t>Delivered</t>
        </is>
      </c>
      <c r="D594" s="16" t="inlineStr">
        <is>
          <t>128-15372263877752167</t>
        </is>
      </c>
      <c r="E594" s="16" t="inlineStr">
        <is>
          <t>Delivered</t>
        </is>
      </c>
      <c r="F594" s="16" t="inlineStr">
        <is>
          <t>A500-N</t>
        </is>
      </c>
      <c r="G594" s="16" t="inlineStr">
        <is>
          <t>Bocina Bluetooth Portátil Barra de Sonido, Inalámbrica con FM Radio, TWS, USB/TF, Graves Potentes para Hogar y Exteriores</t>
        </is>
      </c>
      <c r="H594" s="16" t="inlineStr">
        <is>
          <t>NEGRO</t>
        </is>
      </c>
      <c r="I594" s="16" t="n">
        <v>1</v>
      </c>
      <c r="J594" s="17" t="n">
        <v>81.95999999999999</v>
      </c>
      <c r="K594" s="17" t="n">
        <v>75.84</v>
      </c>
      <c r="L594" s="17" t="n">
        <v>25.86</v>
      </c>
      <c r="M594" s="17" t="n">
        <v>0</v>
      </c>
      <c r="N594" s="17">
        <f>K594*0.08+L594*0.08</f>
        <v/>
      </c>
      <c r="O594" s="17">
        <f>-(K594*0.025+L594*0.025)</f>
        <v/>
      </c>
      <c r="P594" s="17">
        <f>32</f>
        <v/>
      </c>
      <c r="Q594" s="17">
        <f>J594+L594+N594+O594-P594-M594</f>
        <v/>
      </c>
    </row>
    <row r="595">
      <c r="A595" s="16" t="inlineStr">
        <is>
          <t>5.8-5.14</t>
        </is>
      </c>
      <c r="B595" s="16" t="inlineStr">
        <is>
          <t>PO-128-15234136126073884</t>
        </is>
      </c>
      <c r="C595" s="16" t="inlineStr">
        <is>
          <t>Delivered</t>
        </is>
      </c>
      <c r="D595" s="16" t="inlineStr">
        <is>
          <t>128-15234212147833884</t>
        </is>
      </c>
      <c r="E595" s="16" t="inlineStr">
        <is>
          <t>Delivered</t>
        </is>
      </c>
      <c r="F595" s="16" t="inlineStr">
        <is>
          <t>A500-R</t>
        </is>
      </c>
      <c r="G595" s="16" t="inlineStr">
        <is>
          <t>Bocina Bluetooth Portátil Barra de Sonido, Inalámbrica con FM Radio, TWS, USB/TF, Graves Potentes para Hogar y Exteriores</t>
        </is>
      </c>
      <c r="H595" s="16" t="inlineStr">
        <is>
          <t>ROIO</t>
        </is>
      </c>
      <c r="I595" s="16" t="n">
        <v>1</v>
      </c>
      <c r="J595" s="17" t="n">
        <v>80</v>
      </c>
      <c r="K595" s="17" t="n">
        <v>90.47</v>
      </c>
      <c r="L595" s="17" t="n">
        <v>25.86</v>
      </c>
      <c r="M595" s="17" t="n">
        <v>0</v>
      </c>
      <c r="N595" s="17">
        <f>K595*0.08+L595*0.08</f>
        <v/>
      </c>
      <c r="O595" s="17">
        <f>-(K595*0.025+L595*0.025)</f>
        <v/>
      </c>
      <c r="P595" s="17">
        <f>32</f>
        <v/>
      </c>
      <c r="Q595" s="17">
        <f>J595+L595+N595+O595-P595-M595</f>
        <v/>
      </c>
    </row>
    <row r="596">
      <c r="A596" s="16" t="inlineStr">
        <is>
          <t>5.8-5.14</t>
        </is>
      </c>
      <c r="B596" s="16" t="inlineStr">
        <is>
          <t>PO-128-04260285184633759</t>
        </is>
      </c>
      <c r="C596" s="16" t="inlineStr">
        <is>
          <t>Delivered</t>
        </is>
      </c>
      <c r="D596" s="16" t="inlineStr">
        <is>
          <t>128-04260314358393759</t>
        </is>
      </c>
      <c r="E596" s="16" t="inlineStr">
        <is>
          <t>Delivered</t>
        </is>
      </c>
      <c r="F596" s="16" t="inlineStr">
        <is>
          <t>MB-185N</t>
        </is>
      </c>
      <c r="G596" s="16" t="inlineStr">
        <is>
          <t>Bocina Radio FM/Reproductor, Compatible con Tarjeta TF, USB, Bluetooth, Aplicable para celular, computadora, Ipad y consola</t>
        </is>
      </c>
      <c r="H596" s="16" t="inlineStr">
        <is>
          <t>NEGRO/MB-185</t>
        </is>
      </c>
      <c r="I596" s="16" t="n">
        <v>1</v>
      </c>
      <c r="J596" s="17" t="n">
        <v>66</v>
      </c>
      <c r="K596" s="17" t="n">
        <v>78.95999999999999</v>
      </c>
      <c r="L596" s="17" t="n">
        <v>0</v>
      </c>
      <c r="M596" s="17" t="n">
        <v>0</v>
      </c>
      <c r="N596" s="17">
        <f>K596*0.08+L596*0.08</f>
        <v/>
      </c>
      <c r="O596" s="17">
        <f>-(K596*0.025+L596*0.025)</f>
        <v/>
      </c>
      <c r="P596" s="17">
        <f>32</f>
        <v/>
      </c>
      <c r="Q596" s="17">
        <f>J596+L596+N596+O596-P596-M596</f>
        <v/>
      </c>
    </row>
    <row r="597">
      <c r="A597" s="16" t="inlineStr">
        <is>
          <t>5.8-5.14</t>
        </is>
      </c>
      <c r="B597" s="16" t="inlineStr">
        <is>
          <t>PO-128-04260285184633759</t>
        </is>
      </c>
      <c r="C597" s="16" t="inlineStr">
        <is>
          <t>Delivered</t>
        </is>
      </c>
      <c r="D597" s="16" t="inlineStr">
        <is>
          <t>128-04260327127673759</t>
        </is>
      </c>
      <c r="E597" s="16" t="inlineStr">
        <is>
          <t>Delivered</t>
        </is>
      </c>
      <c r="F597" s="16" t="inlineStr">
        <is>
          <t>MB-183B</t>
        </is>
      </c>
      <c r="G597" s="16" t="inlineStr">
        <is>
          <t>Linkbits Altavoz Bluetooth Portátil con Stereo Inalámbrico TWS Impermeable y a Prueba de Polvo IP65 Altavoz de Graves de Rango Completo de 52mm con Doble Unidad Ligero de 215g para Camping Senderismo y Fiestas al Aire Libre</t>
        </is>
      </c>
      <c r="H597" s="16" t="inlineStr">
        <is>
          <t>AZUL/MB-183</t>
        </is>
      </c>
      <c r="I597" s="16" t="n">
        <v>1</v>
      </c>
      <c r="J597" s="17" t="n">
        <v>80</v>
      </c>
      <c r="K597" s="17" t="n">
        <v>80.36</v>
      </c>
      <c r="L597" s="17" t="n">
        <v>0</v>
      </c>
      <c r="M597" s="17" t="n">
        <v>0</v>
      </c>
      <c r="N597" s="17">
        <f>K597*0.08+L597*0.08</f>
        <v/>
      </c>
      <c r="O597" s="17">
        <f>-(K597*0.025+L597*0.025)</f>
        <v/>
      </c>
      <c r="P597" s="17">
        <f>32</f>
        <v/>
      </c>
      <c r="Q597" s="17">
        <f>J597+L597+N597+O597-P597-M597</f>
        <v/>
      </c>
    </row>
    <row r="598">
      <c r="A598" s="16" t="inlineStr">
        <is>
          <t>5.8-5.14</t>
        </is>
      </c>
      <c r="B598" s="16" t="inlineStr">
        <is>
          <t>PO-128-04260285184633759</t>
        </is>
      </c>
      <c r="C598" s="16" t="inlineStr">
        <is>
          <t>Delivered</t>
        </is>
      </c>
      <c r="D598" s="16" t="inlineStr">
        <is>
          <t>128-04260403149433759</t>
        </is>
      </c>
      <c r="E598" s="16" t="inlineStr">
        <is>
          <t>Delivered</t>
        </is>
      </c>
      <c r="F598" s="16" t="inlineStr">
        <is>
          <t>MB-183N</t>
        </is>
      </c>
      <c r="G598" s="16" t="inlineStr">
        <is>
          <t>Linkbits Altavoz Bluetooth Portátil con Stereo Inalámbrico TWS Impermeable y a Prueba de Polvo IP65 Altavoz de Graves de Rango Completo de 52mm con Doble Unidad Ligero de 215g para Camping Senderismo y Fiestas al Aire Libre</t>
        </is>
      </c>
      <c r="H598" s="16" t="inlineStr">
        <is>
          <t>NEGRO/MB-183</t>
        </is>
      </c>
      <c r="I598" s="16" t="n">
        <v>1</v>
      </c>
      <c r="J598" s="17" t="n">
        <v>80</v>
      </c>
      <c r="K598" s="17" t="n">
        <v>80.34999999999999</v>
      </c>
      <c r="L598" s="17" t="n">
        <v>0</v>
      </c>
      <c r="M598" s="17" t="n">
        <v>0</v>
      </c>
      <c r="N598" s="17">
        <f>K598*0.08+L598*0.08</f>
        <v/>
      </c>
      <c r="O598" s="17">
        <f>-(K598*0.025+L598*0.025)</f>
        <v/>
      </c>
      <c r="P598" s="17">
        <f>32</f>
        <v/>
      </c>
      <c r="Q598" s="17">
        <f>J598+L598+N598+O598-P598-M598</f>
        <v/>
      </c>
    </row>
    <row r="599">
      <c r="A599" s="16" t="inlineStr">
        <is>
          <t>5.8-5.14</t>
        </is>
      </c>
      <c r="B599" s="16" t="inlineStr">
        <is>
          <t>PO-128-04637127772791641</t>
        </is>
      </c>
      <c r="C599" s="16" t="inlineStr">
        <is>
          <t>Delivered</t>
        </is>
      </c>
      <c r="D599" s="16" t="inlineStr">
        <is>
          <t>128-04637106801271641</t>
        </is>
      </c>
      <c r="E599" s="16" t="inlineStr">
        <is>
          <t>Delivered</t>
        </is>
      </c>
      <c r="F599" s="16" t="inlineStr">
        <is>
          <t>A500-R</t>
        </is>
      </c>
      <c r="G599" s="16" t="inlineStr">
        <is>
          <t>Bocina Bluetooth Portátil Barra de Sonido, Inalámbrica con FM Radio, TWS, USB/TF, Graves Potentes para Hogar y Exteriores</t>
        </is>
      </c>
      <c r="H599" s="16" t="inlineStr">
        <is>
          <t>ROIO</t>
        </is>
      </c>
      <c r="I599" s="16" t="n">
        <v>1</v>
      </c>
      <c r="J599" s="17" t="n">
        <v>78</v>
      </c>
      <c r="K599" s="17" t="n">
        <v>71.01000000000001</v>
      </c>
      <c r="L599" s="17" t="n">
        <v>0</v>
      </c>
      <c r="M599" s="17" t="n">
        <v>0</v>
      </c>
      <c r="N599" s="17">
        <f>K599*0.08+L599*0.08</f>
        <v/>
      </c>
      <c r="O599" s="17">
        <f>-(K599*0.025+L599*0.025)</f>
        <v/>
      </c>
      <c r="P599" s="17">
        <f>32</f>
        <v/>
      </c>
      <c r="Q599" s="17">
        <f>J599+L599+N599+O599-P599-M599</f>
        <v/>
      </c>
    </row>
    <row r="600">
      <c r="A600" s="16" t="inlineStr">
        <is>
          <t>5.8-5.14</t>
        </is>
      </c>
      <c r="B600" s="16" t="inlineStr">
        <is>
          <t>PO-128-04637127772791641</t>
        </is>
      </c>
      <c r="C600" s="16" t="inlineStr">
        <is>
          <t>Delivered</t>
        </is>
      </c>
      <c r="D600" s="16" t="inlineStr">
        <is>
          <t>128-04637190687351641</t>
        </is>
      </c>
      <c r="E600" s="16" t="inlineStr">
        <is>
          <t>Delivered</t>
        </is>
      </c>
      <c r="F600" s="16" t="inlineStr">
        <is>
          <t>A500-A</t>
        </is>
      </c>
      <c r="G600" s="16" t="inlineStr">
        <is>
          <t>Bocina Bluetooth Portátil Barra de Sonido, Inalámbrica con FM Radio, TWS, USB/TF, Graves Potentes para Hogar y Exteriores</t>
        </is>
      </c>
      <c r="H600" s="16" t="inlineStr">
        <is>
          <t>AZUL</t>
        </is>
      </c>
      <c r="I600" s="16" t="n">
        <v>2</v>
      </c>
      <c r="J600" s="17" t="n">
        <v>144</v>
      </c>
      <c r="K600" s="17" t="n">
        <v>132.41</v>
      </c>
      <c r="L600" s="17" t="n">
        <v>0</v>
      </c>
      <c r="M600" s="17" t="n">
        <v>0</v>
      </c>
      <c r="N600" s="17">
        <f>K600*0.08+L600*0.08</f>
        <v/>
      </c>
      <c r="O600" s="17">
        <f>-(K600*0.025+L600*0.025)</f>
        <v/>
      </c>
      <c r="P600" s="17">
        <f>32</f>
        <v/>
      </c>
      <c r="Q600" s="17">
        <f>J600+L600+N600+O600-P600-M600</f>
        <v/>
      </c>
    </row>
    <row r="601">
      <c r="A601" s="16" t="inlineStr">
        <is>
          <t>5.8-5.14</t>
        </is>
      </c>
      <c r="B601" s="16" t="inlineStr">
        <is>
          <t>PO-128-04637127772791641</t>
        </is>
      </c>
      <c r="C601" s="16" t="inlineStr">
        <is>
          <t>Delivered</t>
        </is>
      </c>
      <c r="D601" s="16" t="inlineStr">
        <is>
          <t>128-04637169715831641</t>
        </is>
      </c>
      <c r="E601" s="16" t="inlineStr">
        <is>
          <t>Delivered</t>
        </is>
      </c>
      <c r="F601" s="16" t="inlineStr">
        <is>
          <t>A500-N</t>
        </is>
      </c>
      <c r="G601" s="16" t="inlineStr">
        <is>
          <t>Bocina Bluetooth Portátil Barra de Sonido, Inalámbrica con FM Radio, TWS, USB/TF, Graves Potentes para Hogar y Exteriores</t>
        </is>
      </c>
      <c r="H601" s="16" t="inlineStr">
        <is>
          <t>NEGRO</t>
        </is>
      </c>
      <c r="I601" s="16" t="n">
        <v>2</v>
      </c>
      <c r="J601" s="17" t="n">
        <v>158</v>
      </c>
      <c r="K601" s="17" t="n">
        <v>147.46</v>
      </c>
      <c r="L601" s="17" t="n">
        <v>0</v>
      </c>
      <c r="M601" s="17" t="n">
        <v>0</v>
      </c>
      <c r="N601" s="17">
        <f>K601*0.08+L601*0.08</f>
        <v/>
      </c>
      <c r="O601" s="17">
        <f>-(K601*0.025+L601*0.025)</f>
        <v/>
      </c>
      <c r="P601" s="17">
        <f>32</f>
        <v/>
      </c>
      <c r="Q601" s="17">
        <f>J601+L601+N601+O601-P601-M601</f>
        <v/>
      </c>
    </row>
    <row r="602">
      <c r="A602" s="16" t="inlineStr">
        <is>
          <t>5.8-5.14</t>
        </is>
      </c>
      <c r="B602" s="16" t="inlineStr">
        <is>
          <t>PO-128-04797267200630559</t>
        </is>
      </c>
      <c r="C602" s="16" t="inlineStr">
        <is>
          <t>Delivered</t>
        </is>
      </c>
      <c r="D602" s="16" t="inlineStr">
        <is>
          <t>128-04797276703350559</t>
        </is>
      </c>
      <c r="E602" s="16" t="inlineStr">
        <is>
          <t>Delivered</t>
        </is>
      </c>
      <c r="F602" s="16" t="inlineStr">
        <is>
          <t>A500-A</t>
        </is>
      </c>
      <c r="G602" s="16" t="inlineStr">
        <is>
          <t>Bocina Bluetooth Portátil Barra de Sonido, Inalámbrica con FM Radio, TWS, USB/TF, Graves Potentes para Hogar y Exteriores</t>
        </is>
      </c>
      <c r="H602" s="16" t="inlineStr">
        <is>
          <t>AZUL</t>
        </is>
      </c>
      <c r="I602" s="16" t="n">
        <v>1</v>
      </c>
      <c r="J602" s="17" t="n">
        <v>72</v>
      </c>
      <c r="K602" s="17" t="n">
        <v>65.98</v>
      </c>
      <c r="L602" s="17" t="n">
        <v>25.86</v>
      </c>
      <c r="M602" s="17" t="n">
        <v>0</v>
      </c>
      <c r="N602" s="17">
        <f>K602*0.08+L602*0.08</f>
        <v/>
      </c>
      <c r="O602" s="17">
        <f>-(K602*0.025+L602*0.025)</f>
        <v/>
      </c>
      <c r="P602" s="17">
        <f>32</f>
        <v/>
      </c>
      <c r="Q602" s="17">
        <f>J602+L602+N602+O602-P602-M602</f>
        <v/>
      </c>
    </row>
    <row r="603">
      <c r="A603" s="16" t="inlineStr">
        <is>
          <t>5.8-5.14</t>
        </is>
      </c>
      <c r="B603" s="16" t="inlineStr">
        <is>
          <t>PO-128-04710479811190050</t>
        </is>
      </c>
      <c r="C603" s="16" t="inlineStr">
        <is>
          <t>Delivered</t>
        </is>
      </c>
      <c r="D603" s="16" t="inlineStr">
        <is>
          <t>128-04710430003830050</t>
        </is>
      </c>
      <c r="E603" s="16" t="inlineStr">
        <is>
          <t>Delivered</t>
        </is>
      </c>
      <c r="F603" s="16" t="inlineStr">
        <is>
          <t>A500-A</t>
        </is>
      </c>
      <c r="G603" s="16" t="inlineStr">
        <is>
          <t>Bocina Bluetooth Portátil Barra de Sonido, Inalámbrica con FM Radio, TWS, USB/TF, Graves Potentes para Hogar y Exteriores</t>
        </is>
      </c>
      <c r="H603" s="16" t="inlineStr">
        <is>
          <t>AZUL</t>
        </is>
      </c>
      <c r="I603" s="16" t="n">
        <v>1</v>
      </c>
      <c r="J603" s="17" t="n">
        <v>72</v>
      </c>
      <c r="K603" s="17" t="n">
        <v>82.47</v>
      </c>
      <c r="L603" s="17" t="n">
        <v>25.86</v>
      </c>
      <c r="M603" s="17" t="n">
        <v>0</v>
      </c>
      <c r="N603" s="17">
        <f>K603*0.08+L603*0.08</f>
        <v/>
      </c>
      <c r="O603" s="17">
        <f>-(K603*0.025+L603*0.025)</f>
        <v/>
      </c>
      <c r="P603" s="17">
        <f>32</f>
        <v/>
      </c>
      <c r="Q603" s="17">
        <f>J603+L603+N603+O603-P603-M603</f>
        <v/>
      </c>
    </row>
    <row r="604">
      <c r="A604" s="16" t="inlineStr">
        <is>
          <t>5.8-5.14</t>
        </is>
      </c>
      <c r="B604" s="16" t="inlineStr">
        <is>
          <t>PO-128-04531827384951053</t>
        </is>
      </c>
      <c r="C604" s="16" t="inlineStr">
        <is>
          <t>Delivered</t>
        </is>
      </c>
      <c r="D604" s="16" t="inlineStr">
        <is>
          <t>128-04531853599351053</t>
        </is>
      </c>
      <c r="E604" s="16" t="inlineStr">
        <is>
          <t>Delivered</t>
        </is>
      </c>
      <c r="F604" s="16" t="inlineStr">
        <is>
          <t>MB-185R</t>
        </is>
      </c>
      <c r="G604" s="16" t="inlineStr">
        <is>
          <t>Bocina Radio FM/Reproductor, Compatible con Tarjeta TF, USB, Bluetooth, Aplicable para celular, computadora, Ipad y consola</t>
        </is>
      </c>
      <c r="H604" s="16" t="inlineStr">
        <is>
          <t>ROJO/MB-185</t>
        </is>
      </c>
      <c r="I604" s="16" t="n">
        <v>1</v>
      </c>
      <c r="J604" s="17" t="n">
        <v>66</v>
      </c>
      <c r="K604" s="17" t="n">
        <v>78.95999999999999</v>
      </c>
      <c r="L604" s="17" t="n">
        <v>25.86</v>
      </c>
      <c r="M604" s="17" t="n">
        <v>0</v>
      </c>
      <c r="N604" s="17">
        <f>K604*0.08+L604*0.08</f>
        <v/>
      </c>
      <c r="O604" s="17">
        <f>-(K604*0.025+L604*0.025)</f>
        <v/>
      </c>
      <c r="P604" s="17">
        <f>32</f>
        <v/>
      </c>
      <c r="Q604" s="17">
        <f>J604+L604+N604+O604-P604-M604</f>
        <v/>
      </c>
    </row>
    <row r="605">
      <c r="A605" s="16" t="inlineStr">
        <is>
          <t>5.8-5.14</t>
        </is>
      </c>
      <c r="B605" s="16" t="inlineStr">
        <is>
          <t>PO-128-04187351583353296</t>
        </is>
      </c>
      <c r="C605" s="16" t="inlineStr">
        <is>
          <t>Delivered</t>
        </is>
      </c>
      <c r="D605" s="16" t="inlineStr">
        <is>
          <t>128-04187419740793296</t>
        </is>
      </c>
      <c r="E605" s="16" t="inlineStr">
        <is>
          <t>Delivered</t>
        </is>
      </c>
      <c r="F605" s="16" t="inlineStr">
        <is>
          <t>A500-N</t>
        </is>
      </c>
      <c r="G605" s="16" t="inlineStr">
        <is>
          <t>Bocina Bluetooth Portátil Barra de Sonido, Inalámbrica con FM Radio, TWS, USB/TF, Graves Potentes para Hogar y Exteriores</t>
        </is>
      </c>
      <c r="H605" s="16" t="inlineStr">
        <is>
          <t>NEGRO</t>
        </is>
      </c>
      <c r="I605" s="16" t="n">
        <v>1</v>
      </c>
      <c r="J605" s="17" t="n">
        <v>79</v>
      </c>
      <c r="K605" s="17" t="n">
        <v>48.74</v>
      </c>
      <c r="L605" s="17" t="n">
        <v>25.86</v>
      </c>
      <c r="M605" s="17" t="n">
        <v>0</v>
      </c>
      <c r="N605" s="17">
        <f>K605*0.08+L605*0.08</f>
        <v/>
      </c>
      <c r="O605" s="17">
        <f>-(K605*0.025+L605*0.025)</f>
        <v/>
      </c>
      <c r="P605" s="17">
        <f>32</f>
        <v/>
      </c>
      <c r="Q605" s="17">
        <f>J605+L605+N605+O605-P605-M605</f>
        <v/>
      </c>
    </row>
    <row r="606">
      <c r="A606" s="16" t="inlineStr">
        <is>
          <t>5.8-5.14</t>
        </is>
      </c>
      <c r="B606" s="16" t="inlineStr">
        <is>
          <t>PO-128-04696587469430199</t>
        </is>
      </c>
      <c r="C606" s="16" t="inlineStr">
        <is>
          <t>Delivered</t>
        </is>
      </c>
      <c r="D606" s="16" t="inlineStr">
        <is>
          <t>128-04696545526390199</t>
        </is>
      </c>
      <c r="E606" s="16" t="inlineStr">
        <is>
          <t>Delivered</t>
        </is>
      </c>
      <c r="F606" s="16" t="inlineStr">
        <is>
          <t>A500-A</t>
        </is>
      </c>
      <c r="G606" s="16" t="inlineStr">
        <is>
          <t>Bocina Bluetooth Portátil Barra de Sonido, Inalámbrica con FM Radio, TWS, USB/TF, Graves Potentes para Hogar y Exteriores</t>
        </is>
      </c>
      <c r="H606" s="16" t="inlineStr">
        <is>
          <t>AZUL</t>
        </is>
      </c>
      <c r="I606" s="16" t="n">
        <v>1</v>
      </c>
      <c r="J606" s="17" t="n">
        <v>72</v>
      </c>
      <c r="K606" s="17" t="n">
        <v>70.09999999999999</v>
      </c>
      <c r="L606" s="17" t="n">
        <v>25.86</v>
      </c>
      <c r="M606" s="17" t="n">
        <v>0</v>
      </c>
      <c r="N606" s="17">
        <f>K606*0.08+L606*0.08</f>
        <v/>
      </c>
      <c r="O606" s="17">
        <f>-(K606*0.025+L606*0.025)</f>
        <v/>
      </c>
      <c r="P606" s="17">
        <f>32</f>
        <v/>
      </c>
      <c r="Q606" s="17">
        <f>J606+L606+N606+O606-P606-M606</f>
        <v/>
      </c>
    </row>
    <row r="607">
      <c r="A607" s="16" t="inlineStr">
        <is>
          <t>5.8-5.14</t>
        </is>
      </c>
      <c r="B607" s="16" t="inlineStr">
        <is>
          <t>PO-128-16905563904631027</t>
        </is>
      </c>
      <c r="C607" s="16" t="inlineStr">
        <is>
          <t>Delivered</t>
        </is>
      </c>
      <c r="D607" s="16" t="inlineStr">
        <is>
          <t>128-16905580943991027</t>
        </is>
      </c>
      <c r="E607" s="16" t="inlineStr">
        <is>
          <t>Delivered</t>
        </is>
      </c>
      <c r="F607" s="16" t="inlineStr">
        <is>
          <t>A500-N</t>
        </is>
      </c>
      <c r="G607" s="16" t="inlineStr">
        <is>
          <t>Bocina Bluetooth Portátil Barra de Sonido, Inalámbrica con FM Radio, TWS, USB/TF, Graves Potentes para Hogar y Exteriores</t>
        </is>
      </c>
      <c r="H607" s="16" t="inlineStr">
        <is>
          <t>NEGRO</t>
        </is>
      </c>
      <c r="I607" s="16" t="n">
        <v>1</v>
      </c>
      <c r="J607" s="17" t="n">
        <v>79</v>
      </c>
      <c r="K607" s="17" t="n">
        <v>91.84</v>
      </c>
      <c r="L607" s="17" t="n">
        <v>25.86</v>
      </c>
      <c r="M607" s="17" t="n">
        <v>0</v>
      </c>
      <c r="N607" s="17">
        <f>K607*0.08+L607*0.08</f>
        <v/>
      </c>
      <c r="O607" s="17">
        <f>-(K607*0.025+L607*0.025)</f>
        <v/>
      </c>
      <c r="P607" s="17">
        <f>32</f>
        <v/>
      </c>
      <c r="Q607" s="17">
        <f>J607+L607+N607+O607-P607-M607</f>
        <v/>
      </c>
    </row>
    <row r="608">
      <c r="A608" s="16" t="inlineStr">
        <is>
          <t>5.8-5.14</t>
        </is>
      </c>
      <c r="B608" s="16" t="inlineStr">
        <is>
          <t>PO-128-17096060990070914</t>
        </is>
      </c>
      <c r="C608" s="16" t="inlineStr">
        <is>
          <t>Delivered</t>
        </is>
      </c>
      <c r="D608" s="16" t="inlineStr">
        <is>
          <t>128-17096102933110914</t>
        </is>
      </c>
      <c r="E608" s="16" t="inlineStr">
        <is>
          <t>Delivered</t>
        </is>
      </c>
      <c r="F608" s="16" t="inlineStr">
        <is>
          <t>A500-N</t>
        </is>
      </c>
      <c r="G608" s="16" t="inlineStr">
        <is>
          <t>Bocina Bluetooth Portátil Barra de Sonido, Inalámbrica con FM Radio, TWS, USB/TF, Graves Potentes para Hogar y Exteriores</t>
        </is>
      </c>
      <c r="H608" s="16" t="inlineStr">
        <is>
          <t>NEGRO</t>
        </is>
      </c>
      <c r="I608" s="16" t="n">
        <v>1</v>
      </c>
      <c r="J608" s="17" t="n">
        <v>79</v>
      </c>
      <c r="K608" s="17" t="n">
        <v>91.84</v>
      </c>
      <c r="L608" s="17" t="n">
        <v>25.86</v>
      </c>
      <c r="M608" s="17" t="n">
        <v>0</v>
      </c>
      <c r="N608" s="17">
        <f>K608*0.08+L608*0.08</f>
        <v/>
      </c>
      <c r="O608" s="17">
        <f>-(K608*0.025+L608*0.025)</f>
        <v/>
      </c>
      <c r="P608" s="17">
        <f>32</f>
        <v/>
      </c>
      <c r="Q608" s="17">
        <f>J608+L608+N608+O608-P608-M608</f>
        <v/>
      </c>
    </row>
    <row r="609">
      <c r="A609" s="16" t="inlineStr">
        <is>
          <t>5.8-5.14</t>
        </is>
      </c>
      <c r="B609" s="16" t="inlineStr">
        <is>
          <t>PO-128-16839957463671419</t>
        </is>
      </c>
      <c r="C609" s="16" t="inlineStr">
        <is>
          <t>Delivered</t>
        </is>
      </c>
      <c r="D609" s="16" t="inlineStr">
        <is>
          <t>128-16839915520631419</t>
        </is>
      </c>
      <c r="E609" s="16" t="inlineStr">
        <is>
          <t>Delivered</t>
        </is>
      </c>
      <c r="F609" s="16" t="inlineStr">
        <is>
          <t>A500-A</t>
        </is>
      </c>
      <c r="G609" s="16" t="inlineStr">
        <is>
          <t>Bocina Bluetooth Portátil Barra de Sonido, Inalámbrica con FM Radio, TWS, USB/TF, Graves Potentes para Hogar y Exteriores</t>
        </is>
      </c>
      <c r="H609" s="16" t="inlineStr">
        <is>
          <t>AZUL</t>
        </is>
      </c>
      <c r="I609" s="16" t="n">
        <v>1</v>
      </c>
      <c r="J609" s="17" t="n">
        <v>72</v>
      </c>
      <c r="K609" s="17" t="n">
        <v>86.13</v>
      </c>
      <c r="L609" s="17" t="n">
        <v>25.86</v>
      </c>
      <c r="M609" s="17" t="n">
        <v>0</v>
      </c>
      <c r="N609" s="17">
        <f>K609*0.08+L609*0.08</f>
        <v/>
      </c>
      <c r="O609" s="17">
        <f>-(K609*0.025+L609*0.025)</f>
        <v/>
      </c>
      <c r="P609" s="17">
        <f>32</f>
        <v/>
      </c>
      <c r="Q609" s="17">
        <f>J609+L609+N609+O609-P609-M609</f>
        <v/>
      </c>
    </row>
    <row r="610">
      <c r="A610" s="16" t="inlineStr">
        <is>
          <t>5.8-5.14</t>
        </is>
      </c>
      <c r="B610" s="16" t="inlineStr">
        <is>
          <t>PO-128-16542746163833252</t>
        </is>
      </c>
      <c r="C610" s="16" t="inlineStr">
        <is>
          <t>Delivered</t>
        </is>
      </c>
      <c r="D610" s="16" t="inlineStr">
        <is>
          <t>128-16542788106873252</t>
        </is>
      </c>
      <c r="E610" s="16" t="inlineStr">
        <is>
          <t>Delivered</t>
        </is>
      </c>
      <c r="F610" s="16" t="inlineStr">
        <is>
          <t>A500-A</t>
        </is>
      </c>
      <c r="G610" s="16" t="inlineStr">
        <is>
          <t>Bocina Bluetooth Portátil Barra de Sonido, Inalámbrica con FM Radio, TWS, USB/TF, Graves Potentes para Hogar y Exteriores</t>
        </is>
      </c>
      <c r="H610" s="16" t="inlineStr">
        <is>
          <t>AZUL</t>
        </is>
      </c>
      <c r="I610" s="16" t="n">
        <v>1</v>
      </c>
      <c r="J610" s="17" t="n">
        <v>72</v>
      </c>
      <c r="K610" s="17" t="n">
        <v>3.37</v>
      </c>
      <c r="L610" s="17" t="n">
        <v>25.86</v>
      </c>
      <c r="M610" s="17" t="n">
        <v>0</v>
      </c>
      <c r="N610" s="17">
        <f>K610*0.08+L610*0.08</f>
        <v/>
      </c>
      <c r="O610" s="17">
        <f>-(K610*0.025+L610*0.025)</f>
        <v/>
      </c>
      <c r="P610" s="17">
        <f>32</f>
        <v/>
      </c>
      <c r="Q610" s="17">
        <f>J610+L610+N610+O610-P610-M610</f>
        <v/>
      </c>
    </row>
    <row r="611">
      <c r="A611" s="16" t="inlineStr">
        <is>
          <t>5.8-5.14</t>
        </is>
      </c>
      <c r="B611" s="16" t="inlineStr">
        <is>
          <t>PO-128-17120805100150769</t>
        </is>
      </c>
      <c r="C611" s="16" t="inlineStr">
        <is>
          <t>Delivered</t>
        </is>
      </c>
      <c r="D611" s="16" t="inlineStr">
        <is>
          <t>128-17120784128630769</t>
        </is>
      </c>
      <c r="E611" s="16" t="inlineStr">
        <is>
          <t>Delivered</t>
        </is>
      </c>
      <c r="F611" s="16" t="inlineStr">
        <is>
          <t>A500-N</t>
        </is>
      </c>
      <c r="G611" s="16" t="inlineStr">
        <is>
          <t>Bocina Bluetooth Portátil Barra de Sonido, Inalámbrica con FM Radio, TWS, USB/TF, Graves Potentes para Hogar y Exteriores</t>
        </is>
      </c>
      <c r="H611" s="16" t="inlineStr">
        <is>
          <t>NEGRO</t>
        </is>
      </c>
      <c r="I611" s="16" t="n">
        <v>1</v>
      </c>
      <c r="J611" s="17" t="n">
        <v>79</v>
      </c>
      <c r="K611" s="17" t="n">
        <v>57.04</v>
      </c>
      <c r="L611" s="17" t="n">
        <v>25.86</v>
      </c>
      <c r="M611" s="17" t="n">
        <v>0</v>
      </c>
      <c r="N611" s="17">
        <f>K611*0.08+L611*0.08</f>
        <v/>
      </c>
      <c r="O611" s="17">
        <f>-(K611*0.025+L611*0.025)</f>
        <v/>
      </c>
      <c r="P611" s="17">
        <f>32</f>
        <v/>
      </c>
      <c r="Q611" s="17">
        <f>J611+L611+N611+O611-P611-M611</f>
        <v/>
      </c>
    </row>
    <row r="612">
      <c r="A612" s="16" t="inlineStr">
        <is>
          <t>5.8-5.14</t>
        </is>
      </c>
      <c r="B612" s="16" t="inlineStr">
        <is>
          <t>PO-128-16511778714233567</t>
        </is>
      </c>
      <c r="C612" s="16" t="inlineStr">
        <is>
          <t>Delivered</t>
        </is>
      </c>
      <c r="D612" s="16" t="inlineStr">
        <is>
          <t>128-16511736771193567</t>
        </is>
      </c>
      <c r="E612" s="16" t="inlineStr">
        <is>
          <t>Delivered</t>
        </is>
      </c>
      <c r="F612" s="16" t="inlineStr">
        <is>
          <t>SA320T-Y</t>
        </is>
      </c>
      <c r="G612" s="16" t="inlineStr">
        <is>
          <t>Altavoz inalámbrico portátil con Luces RGB, Radio FM y Manija - 5h Duración, TWS, TF Card, Compacto y Recargable via USB，Perfecto para viajes, fiestas y gaming</t>
        </is>
      </c>
      <c r="H612" s="16" t="inlineStr">
        <is>
          <t>amarillo</t>
        </is>
      </c>
      <c r="I612" s="16" t="n">
        <v>1</v>
      </c>
      <c r="J612" s="17" t="n">
        <v>49</v>
      </c>
      <c r="K612" s="17" t="n">
        <v>59.16</v>
      </c>
      <c r="L612" s="17" t="n">
        <v>25.86</v>
      </c>
      <c r="M612" s="17" t="n">
        <v>0</v>
      </c>
      <c r="N612" s="17">
        <f>K612*0.08+L612*0.08</f>
        <v/>
      </c>
      <c r="O612" s="17">
        <f>-(K612*0.025+L612*0.025)</f>
        <v/>
      </c>
      <c r="P612" s="17">
        <f>32</f>
        <v/>
      </c>
      <c r="Q612" s="17">
        <f>J612+L612+N612+O612-P612-M612</f>
        <v/>
      </c>
    </row>
    <row r="613">
      <c r="A613" s="16" t="inlineStr">
        <is>
          <t>5.8-5.14</t>
        </is>
      </c>
      <c r="B613" s="16" t="inlineStr">
        <is>
          <t>PO-128-16740405381752138</t>
        </is>
      </c>
      <c r="C613" s="16" t="inlineStr">
        <is>
          <t>Delivered</t>
        </is>
      </c>
      <c r="D613" s="16" t="inlineStr">
        <is>
          <t>128-16740394895992138</t>
        </is>
      </c>
      <c r="E613" s="16" t="inlineStr">
        <is>
          <t>Delivered</t>
        </is>
      </c>
      <c r="F613" s="16" t="inlineStr">
        <is>
          <t>SA320T-N</t>
        </is>
      </c>
      <c r="G613" s="16" t="inlineStr">
        <is>
          <t>Altavoz inalámbrico portátil con Luces RGB, Radio FM y Manija - 5h Duración, TWS, TF Card, Compacto y Recargable via USB，Perfecto para viajes, fiestas y gaming</t>
        </is>
      </c>
      <c r="H613" s="16" t="inlineStr">
        <is>
          <t>negro</t>
        </is>
      </c>
      <c r="I613" s="16" t="n">
        <v>4</v>
      </c>
      <c r="J613" s="17" t="n">
        <v>216</v>
      </c>
      <c r="K613" s="17" t="n">
        <v>207.12</v>
      </c>
      <c r="L613" s="17" t="n">
        <v>0</v>
      </c>
      <c r="M613" s="17" t="n">
        <v>0</v>
      </c>
      <c r="N613" s="17">
        <f>K613*0.08+L613*0.08</f>
        <v/>
      </c>
      <c r="O613" s="17">
        <f>-(K613*0.025+L613*0.025)</f>
        <v/>
      </c>
      <c r="P613" s="17">
        <f>32</f>
        <v/>
      </c>
      <c r="Q613" s="17">
        <f>J613+L613+N613+O613-P613-M613</f>
        <v/>
      </c>
    </row>
    <row r="614">
      <c r="A614" s="16" t="inlineStr">
        <is>
          <t>5.8-5.14</t>
        </is>
      </c>
      <c r="B614" s="16" t="inlineStr">
        <is>
          <t>PO-128-05609829253753843</t>
        </is>
      </c>
      <c r="C614" s="16" t="inlineStr">
        <is>
          <t>Delivered</t>
        </is>
      </c>
      <c r="D614" s="16" t="inlineStr">
        <is>
          <t>128-05609934111353843</t>
        </is>
      </c>
      <c r="E614" s="16" t="inlineStr">
        <is>
          <t>Delivered</t>
        </is>
      </c>
      <c r="F614" s="16" t="inlineStr">
        <is>
          <t>A500-N</t>
        </is>
      </c>
      <c r="G614" s="16" t="inlineStr">
        <is>
          <t>Bocina Bluetooth Portátil Barra de Sonido, Inalámbrica con FM Radio, TWS, USB/TF, Graves Potentes para Hogar y Exteriores</t>
        </is>
      </c>
      <c r="H614" s="16" t="inlineStr">
        <is>
          <t>NEGRO</t>
        </is>
      </c>
      <c r="I614" s="16" t="n">
        <v>1</v>
      </c>
      <c r="J614" s="17" t="n">
        <v>79</v>
      </c>
      <c r="K614" s="17" t="n">
        <v>91.84</v>
      </c>
      <c r="L614" s="17" t="n">
        <v>25.86</v>
      </c>
      <c r="M614" s="17" t="n">
        <v>0</v>
      </c>
      <c r="N614" s="17">
        <f>K614*0.08+L614*0.08</f>
        <v/>
      </c>
      <c r="O614" s="17">
        <f>-(K614*0.025+L614*0.025)</f>
        <v/>
      </c>
      <c r="P614" s="17">
        <f>32</f>
        <v/>
      </c>
      <c r="Q614" s="17">
        <f>J614+L614+N614+O614-P614-M614</f>
        <v/>
      </c>
    </row>
    <row r="615">
      <c r="A615" s="16" t="inlineStr">
        <is>
          <t>5.8-5.14</t>
        </is>
      </c>
      <c r="B615" s="16" t="inlineStr">
        <is>
          <t>PO-128-05956378839671840</t>
        </is>
      </c>
      <c r="C615" s="16" t="inlineStr">
        <is>
          <t>Delivered</t>
        </is>
      </c>
      <c r="D615" s="16" t="inlineStr">
        <is>
          <t>128-05956336896631840</t>
        </is>
      </c>
      <c r="E615" s="16" t="inlineStr">
        <is>
          <t>Delivered</t>
        </is>
      </c>
      <c r="F615" s="16" t="inlineStr">
        <is>
          <t>A500-A</t>
        </is>
      </c>
      <c r="G615" s="16" t="inlineStr">
        <is>
          <t>Bocina Bluetooth Portátil Barra de Sonido, Inalámbrica con FM Radio, TWS, USB/TF, Graves Potentes para Hogar y Exteriores</t>
        </is>
      </c>
      <c r="H615" s="16" t="inlineStr">
        <is>
          <t>AZUL</t>
        </is>
      </c>
      <c r="I615" s="16" t="n">
        <v>1</v>
      </c>
      <c r="J615" s="17" t="n">
        <v>72</v>
      </c>
      <c r="K615" s="17" t="n">
        <v>86.16</v>
      </c>
      <c r="L615" s="17" t="n">
        <v>25.86</v>
      </c>
      <c r="M615" s="17" t="n">
        <v>0</v>
      </c>
      <c r="N615" s="17">
        <f>K615*0.08+L615*0.08</f>
        <v/>
      </c>
      <c r="O615" s="17">
        <f>-(K615*0.025+L615*0.025)</f>
        <v/>
      </c>
      <c r="P615" s="17">
        <f>32</f>
        <v/>
      </c>
      <c r="Q615" s="17">
        <f>J615+L615+N615+O615-P615-M615</f>
        <v/>
      </c>
    </row>
    <row r="616">
      <c r="A616" s="16" t="inlineStr">
        <is>
          <t>5.8-5.14</t>
        </is>
      </c>
      <c r="B616" s="16" t="inlineStr">
        <is>
          <t>PO-128-05811381479032768</t>
        </is>
      </c>
      <c r="C616" s="16" t="inlineStr">
        <is>
          <t>Delivered</t>
        </is>
      </c>
      <c r="D616" s="16" t="inlineStr">
        <is>
          <t>128-05811449636472768</t>
        </is>
      </c>
      <c r="E616" s="16" t="inlineStr">
        <is>
          <t>Delivered</t>
        </is>
      </c>
      <c r="F616" s="16" t="inlineStr">
        <is>
          <t>A500-R</t>
        </is>
      </c>
      <c r="G616" s="16" t="inlineStr">
        <is>
          <t>Bocina Bluetooth Portátil Barra de Sonido, Inalámbrica con FM Radio, TWS, USB/TF, Graves Potentes para Hogar y Exteriores</t>
        </is>
      </c>
      <c r="H616" s="16" t="inlineStr">
        <is>
          <t>ROIO</t>
        </is>
      </c>
      <c r="I616" s="16" t="n">
        <v>1</v>
      </c>
      <c r="J616" s="17" t="n">
        <v>78</v>
      </c>
      <c r="K616" s="17" t="n">
        <v>73.73999999999999</v>
      </c>
      <c r="L616" s="17" t="n">
        <v>25.86</v>
      </c>
      <c r="M616" s="17" t="n">
        <v>0</v>
      </c>
      <c r="N616" s="17">
        <f>K616*0.08+L616*0.08</f>
        <v/>
      </c>
      <c r="O616" s="17">
        <f>-(K616*0.025+L616*0.025)</f>
        <v/>
      </c>
      <c r="P616" s="17">
        <f>32</f>
        <v/>
      </c>
      <c r="Q616" s="17">
        <f>J616+L616+N616+O616-P616-M616</f>
        <v/>
      </c>
    </row>
    <row r="617">
      <c r="A617" s="16" t="inlineStr">
        <is>
          <t>5.8-5.14</t>
        </is>
      </c>
      <c r="B617" s="16" t="inlineStr">
        <is>
          <t>PO-128-06015154186870403</t>
        </is>
      </c>
      <c r="C617" s="16" t="inlineStr">
        <is>
          <t>Delivered</t>
        </is>
      </c>
      <c r="D617" s="16" t="inlineStr">
        <is>
          <t>128-06015206615670403</t>
        </is>
      </c>
      <c r="E617" s="16" t="inlineStr">
        <is>
          <t>Delivered</t>
        </is>
      </c>
      <c r="F617" s="16" t="inlineStr">
        <is>
          <t>A500-N</t>
        </is>
      </c>
      <c r="G617" s="16" t="inlineStr">
        <is>
          <t>Bocina Bluetooth Portátil Barra de Sonido, Inalámbrica con FM Radio, TWS, USB/TF, Graves Potentes para Hogar y Exteriores</t>
        </is>
      </c>
      <c r="H617" s="16" t="inlineStr">
        <is>
          <t>NEGRO</t>
        </is>
      </c>
      <c r="I617" s="16" t="n">
        <v>1</v>
      </c>
      <c r="J617" s="17" t="n">
        <v>79</v>
      </c>
      <c r="K617" s="17" t="n">
        <v>91.86</v>
      </c>
      <c r="L617" s="17" t="n">
        <v>25.86</v>
      </c>
      <c r="M617" s="17" t="n">
        <v>0</v>
      </c>
      <c r="N617" s="17">
        <f>K617*0.08+L617*0.08</f>
        <v/>
      </c>
      <c r="O617" s="17">
        <f>-(K617*0.025+L617*0.025)</f>
        <v/>
      </c>
      <c r="P617" s="17">
        <f>32</f>
        <v/>
      </c>
      <c r="Q617" s="17">
        <f>J617+L617+N617+O617-P617-M617</f>
        <v/>
      </c>
    </row>
    <row r="618">
      <c r="A618" s="16" t="inlineStr">
        <is>
          <t>5.8-5.14</t>
        </is>
      </c>
      <c r="B618" s="16" t="inlineStr">
        <is>
          <t>PO-128-06153602919030728</t>
        </is>
      </c>
      <c r="C618" s="16" t="inlineStr">
        <is>
          <t>Delivered</t>
        </is>
      </c>
      <c r="D618" s="16" t="inlineStr">
        <is>
          <t>128-06153644862070728</t>
        </is>
      </c>
      <c r="E618" s="16" t="inlineStr">
        <is>
          <t>Delivered</t>
        </is>
      </c>
      <c r="F618" s="16" t="inlineStr">
        <is>
          <t>A500-N</t>
        </is>
      </c>
      <c r="G618" s="16" t="inlineStr">
        <is>
          <t>Bocina Bluetooth Portátil Barra de Sonido, Inalámbrica con FM Radio, TWS, USB/TF, Graves Potentes para Hogar y Exteriores</t>
        </is>
      </c>
      <c r="H618" s="16" t="inlineStr">
        <is>
          <t>NEGRO</t>
        </is>
      </c>
      <c r="I618" s="16" t="n">
        <v>1</v>
      </c>
      <c r="J618" s="17" t="n">
        <v>79</v>
      </c>
      <c r="K618" s="17" t="n">
        <v>91.86</v>
      </c>
      <c r="L618" s="17" t="n">
        <v>25.86</v>
      </c>
      <c r="M618" s="17" t="n">
        <v>0</v>
      </c>
      <c r="N618" s="17">
        <f>K618*0.08+L618*0.08</f>
        <v/>
      </c>
      <c r="O618" s="17">
        <f>-(K618*0.025+L618*0.025)</f>
        <v/>
      </c>
      <c r="P618" s="17">
        <f>32</f>
        <v/>
      </c>
      <c r="Q618" s="17">
        <f>J618+L618+N618+O618-P618-M618</f>
        <v/>
      </c>
    </row>
    <row r="619">
      <c r="A619" s="16" t="inlineStr">
        <is>
          <t>5.8-5.14</t>
        </is>
      </c>
      <c r="B619" s="16" t="inlineStr">
        <is>
          <t>PO-128-06060627461750130</t>
        </is>
      </c>
      <c r="C619" s="16" t="inlineStr">
        <is>
          <t>Delivered</t>
        </is>
      </c>
      <c r="D619" s="16" t="inlineStr">
        <is>
          <t>128-06060640568950130</t>
        </is>
      </c>
      <c r="E619" s="16" t="inlineStr">
        <is>
          <t>Delivered</t>
        </is>
      </c>
      <c r="F619" s="16" t="inlineStr">
        <is>
          <t>A500-N</t>
        </is>
      </c>
      <c r="G619" s="16" t="inlineStr">
        <is>
          <t>Bocina Bluetooth Portátil Barra de Sonido, Inalámbrica con FM Radio, TWS, USB/TF, Graves Potentes para Hogar y Exteriores</t>
        </is>
      </c>
      <c r="H619" s="16" t="inlineStr">
        <is>
          <t>NEGRO</t>
        </is>
      </c>
      <c r="I619" s="16" t="n">
        <v>1</v>
      </c>
      <c r="J619" s="17" t="n">
        <v>79</v>
      </c>
      <c r="K619" s="17" t="n">
        <v>91.86</v>
      </c>
      <c r="L619" s="17" t="n">
        <v>25.86</v>
      </c>
      <c r="M619" s="17" t="n">
        <v>0</v>
      </c>
      <c r="N619" s="17">
        <f>K619*0.08+L619*0.08</f>
        <v/>
      </c>
      <c r="O619" s="17">
        <f>-(K619*0.025+L619*0.025)</f>
        <v/>
      </c>
      <c r="P619" s="17">
        <f>32</f>
        <v/>
      </c>
      <c r="Q619" s="17">
        <f>J619+L619+N619+O619-P619-M619</f>
        <v/>
      </c>
    </row>
    <row r="620">
      <c r="A620" s="16" t="inlineStr">
        <is>
          <t>5.8-5.14</t>
        </is>
      </c>
      <c r="B620" s="16" t="inlineStr">
        <is>
          <t>PO-128-05950974782071808</t>
        </is>
      </c>
      <c r="C620" s="16" t="inlineStr">
        <is>
          <t>Delivered</t>
        </is>
      </c>
      <c r="D620" s="16" t="inlineStr">
        <is>
          <t>128-05950981335671808</t>
        </is>
      </c>
      <c r="E620" s="16" t="inlineStr">
        <is>
          <t>Delivered</t>
        </is>
      </c>
      <c r="F620" s="16" t="inlineStr">
        <is>
          <t>A500-N</t>
        </is>
      </c>
      <c r="G620" s="16" t="inlineStr">
        <is>
          <t>Bocina Bluetooth Portátil Barra de Sonido, Inalámbrica con FM Radio, TWS, USB/TF, Graves Potentes para Hogar y Exteriores</t>
        </is>
      </c>
      <c r="H620" s="16" t="inlineStr">
        <is>
          <t>NEGRO</t>
        </is>
      </c>
      <c r="I620" s="16" t="n">
        <v>2</v>
      </c>
      <c r="J620" s="17" t="n">
        <v>158</v>
      </c>
      <c r="K620" s="17" t="n">
        <v>157.21</v>
      </c>
      <c r="L620" s="17" t="n">
        <v>0</v>
      </c>
      <c r="M620" s="17" t="n">
        <v>0</v>
      </c>
      <c r="N620" s="17">
        <f>K620*0.08+L620*0.08</f>
        <v/>
      </c>
      <c r="O620" s="17">
        <f>-(K620*0.025+L620*0.025)</f>
        <v/>
      </c>
      <c r="P620" s="17">
        <f>32</f>
        <v/>
      </c>
      <c r="Q620" s="17">
        <f>J620+L620+N620+O620-P620-M620</f>
        <v/>
      </c>
    </row>
    <row r="621">
      <c r="A621" s="16" t="inlineStr">
        <is>
          <t>5.8-5.14</t>
        </is>
      </c>
      <c r="B621" s="16" t="inlineStr">
        <is>
          <t>PO-128-05950974782071808</t>
        </is>
      </c>
      <c r="C621" s="16" t="inlineStr">
        <is>
          <t>Delivered</t>
        </is>
      </c>
      <c r="D621" s="16" t="inlineStr">
        <is>
          <t>128-05950964296311808</t>
        </is>
      </c>
      <c r="E621" s="16" t="inlineStr">
        <is>
          <t>Delivered</t>
        </is>
      </c>
      <c r="F621" s="16" t="inlineStr">
        <is>
          <t>A500-A</t>
        </is>
      </c>
      <c r="G621" s="16" t="inlineStr">
        <is>
          <t>Bocina Bluetooth Portátil Barra de Sonido, Inalámbrica con FM Radio, TWS, USB/TF, Graves Potentes para Hogar y Exteriores</t>
        </is>
      </c>
      <c r="H621" s="16" t="inlineStr">
        <is>
          <t>AZUL</t>
        </is>
      </c>
      <c r="I621" s="16" t="n">
        <v>1</v>
      </c>
      <c r="J621" s="17" t="n">
        <v>72</v>
      </c>
      <c r="K621" s="17" t="n">
        <v>73.73</v>
      </c>
      <c r="L621" s="17" t="n">
        <v>0</v>
      </c>
      <c r="M621" s="17" t="n">
        <v>0</v>
      </c>
      <c r="N621" s="17">
        <f>K621*0.08+L621*0.08</f>
        <v/>
      </c>
      <c r="O621" s="17">
        <f>-(K621*0.025+L621*0.025)</f>
        <v/>
      </c>
      <c r="P621" s="17">
        <f>32</f>
        <v/>
      </c>
      <c r="Q621" s="17">
        <f>J621+L621+N621+O621-P621-M621</f>
        <v/>
      </c>
    </row>
    <row r="622">
      <c r="A622" s="16" t="inlineStr">
        <is>
          <t>5.8-5.14</t>
        </is>
      </c>
      <c r="B622" s="16" t="inlineStr">
        <is>
          <t>PO-128-05611076757113898</t>
        </is>
      </c>
      <c r="C622" s="16" t="inlineStr">
        <is>
          <t>Delivered</t>
        </is>
      </c>
      <c r="D622" s="16" t="inlineStr">
        <is>
          <t>128-05611087242873898</t>
        </is>
      </c>
      <c r="E622" s="16" t="inlineStr">
        <is>
          <t>Delivered</t>
        </is>
      </c>
      <c r="F622" s="16" t="inlineStr">
        <is>
          <t>A500-N</t>
        </is>
      </c>
      <c r="G622" s="16" t="inlineStr">
        <is>
          <t>Bocina Bluetooth Portátil Barra de Sonido, Inalámbrica con FM Radio, TWS, USB/TF, Graves Potentes para Hogar y Exteriores</t>
        </is>
      </c>
      <c r="H622" s="16" t="inlineStr">
        <is>
          <t>NEGRO</t>
        </is>
      </c>
      <c r="I622" s="16" t="n">
        <v>1</v>
      </c>
      <c r="J622" s="17" t="n">
        <v>79</v>
      </c>
      <c r="K622" s="17" t="n">
        <v>91.86</v>
      </c>
      <c r="L622" s="17" t="n">
        <v>25.86</v>
      </c>
      <c r="M622" s="17" t="n">
        <v>0</v>
      </c>
      <c r="N622" s="17">
        <f>K622*0.08+L622*0.08</f>
        <v/>
      </c>
      <c r="O622" s="17">
        <f>-(K622*0.025+L622*0.025)</f>
        <v/>
      </c>
      <c r="P622" s="17">
        <f>32</f>
        <v/>
      </c>
      <c r="Q622" s="17">
        <f>J622+L622+N622+O622-P622-M622</f>
        <v/>
      </c>
    </row>
    <row r="623">
      <c r="A623" s="16" t="inlineStr">
        <is>
          <t>5.8-5.14</t>
        </is>
      </c>
      <c r="B623" s="16" t="inlineStr">
        <is>
          <t>PO-128-05915661333111058</t>
        </is>
      </c>
      <c r="C623" s="16" t="inlineStr">
        <is>
          <t>Delivered</t>
        </is>
      </c>
      <c r="D623" s="16" t="inlineStr">
        <is>
          <t>128-05915713761911058</t>
        </is>
      </c>
      <c r="E623" s="16" t="inlineStr">
        <is>
          <t>Delivered</t>
        </is>
      </c>
      <c r="F623" s="16" t="inlineStr">
        <is>
          <t>A500-N</t>
        </is>
      </c>
      <c r="G623" s="16" t="inlineStr">
        <is>
          <t>Bocina Bluetooth Portátil Barra de Sonido, Inalámbrica con FM Radio, TWS, USB/TF, Graves Potentes para Hogar y Exteriores</t>
        </is>
      </c>
      <c r="H623" s="16" t="inlineStr">
        <is>
          <t>NEGRO</t>
        </is>
      </c>
      <c r="I623" s="16" t="n">
        <v>1</v>
      </c>
      <c r="J623" s="17" t="n">
        <v>81.95999999999999</v>
      </c>
      <c r="K623" s="17" t="n">
        <v>67.51000000000001</v>
      </c>
      <c r="L623" s="17" t="n">
        <v>25.86</v>
      </c>
      <c r="M623" s="17" t="n">
        <v>0</v>
      </c>
      <c r="N623" s="17">
        <f>K623*0.08+L623*0.08</f>
        <v/>
      </c>
      <c r="O623" s="17">
        <f>-(K623*0.025+L623*0.025)</f>
        <v/>
      </c>
      <c r="P623" s="17">
        <f>32</f>
        <v/>
      </c>
      <c r="Q623" s="17">
        <f>J623+L623+N623+O623-P623-M623</f>
        <v/>
      </c>
    </row>
    <row r="624">
      <c r="A624" s="16" t="inlineStr">
        <is>
          <t>5.8-5.14</t>
        </is>
      </c>
      <c r="B624" s="16" t="inlineStr">
        <is>
          <t>PO-128-05526553508473378</t>
        </is>
      </c>
      <c r="C624" s="16" t="inlineStr">
        <is>
          <t>Delivered</t>
        </is>
      </c>
      <c r="D624" s="16" t="inlineStr">
        <is>
          <t>128-05526581033593378</t>
        </is>
      </c>
      <c r="E624" s="16" t="inlineStr">
        <is>
          <t>Delivered</t>
        </is>
      </c>
      <c r="F624" s="16" t="inlineStr">
        <is>
          <t>A500-N</t>
        </is>
      </c>
      <c r="G624" s="16" t="inlineStr">
        <is>
          <t>Bocina Bluetooth Portátil Barra de Sonido, Inalámbrica con FM Radio, TWS, USB/TF, Graves Potentes para Hogar y Exteriores</t>
        </is>
      </c>
      <c r="H624" s="16" t="inlineStr">
        <is>
          <t>NEGRO</t>
        </is>
      </c>
      <c r="I624" s="16" t="n">
        <v>2</v>
      </c>
      <c r="J624" s="17" t="n">
        <v>163.92</v>
      </c>
      <c r="K624" s="17" t="n">
        <v>143.69</v>
      </c>
      <c r="L624" s="17" t="n">
        <v>25.86</v>
      </c>
      <c r="M624" s="17" t="n">
        <v>0</v>
      </c>
      <c r="N624" s="17">
        <f>K624*0.08+L624*0.08</f>
        <v/>
      </c>
      <c r="O624" s="17">
        <f>-(K624*0.025+L624*0.025)</f>
        <v/>
      </c>
      <c r="P624" s="17">
        <f>32</f>
        <v/>
      </c>
      <c r="Q624" s="17">
        <f>J624+L624+N624+O624-P624-M624</f>
        <v/>
      </c>
    </row>
    <row r="625">
      <c r="A625" s="16" t="inlineStr">
        <is>
          <t>5.8-5.14</t>
        </is>
      </c>
      <c r="B625" s="16" t="inlineStr">
        <is>
          <t>PO-128-06022752399990420</t>
        </is>
      </c>
      <c r="C625" s="16" t="inlineStr">
        <is>
          <t>Delivered</t>
        </is>
      </c>
      <c r="D625" s="16" t="inlineStr">
        <is>
          <t>128-06022794343030420</t>
        </is>
      </c>
      <c r="E625" s="16" t="inlineStr">
        <is>
          <t>Delivered</t>
        </is>
      </c>
      <c r="F625" s="16" t="inlineStr">
        <is>
          <t>MB-184N</t>
        </is>
      </c>
      <c r="G625" s="16" t="inlineStr">
        <is>
          <t>Linkbits Portable Bluetooth Speaker - 800W Peak Power, 50W Full-Range Audio with Dual Bass System &amp; Deep Bass Membranes, Powerful &amp; Distortion-Free Sound, IP65 Waterproof Dustproof, TWS Support &amp; 6H Battery for Outdoor/Party</t>
        </is>
      </c>
      <c r="H625" s="16" t="inlineStr">
        <is>
          <t>NEGRO/MB-184</t>
        </is>
      </c>
      <c r="I625" s="16" t="n">
        <v>1</v>
      </c>
      <c r="J625" s="17" t="n">
        <v>630</v>
      </c>
      <c r="K625" s="17" t="n">
        <v>446.53</v>
      </c>
      <c r="L625" s="17" t="n">
        <v>0</v>
      </c>
      <c r="M625" s="17" t="n">
        <v>0</v>
      </c>
      <c r="N625" s="17">
        <f>K625*0.08+L625*0.08</f>
        <v/>
      </c>
      <c r="O625" s="17">
        <f>-(K625*0.025+L625*0.025)</f>
        <v/>
      </c>
      <c r="P625" s="17">
        <f>32</f>
        <v/>
      </c>
      <c r="Q625" s="17">
        <f>J625+L625+N625+O625-P625-M625</f>
        <v/>
      </c>
    </row>
    <row r="626">
      <c r="A626" s="16" t="inlineStr">
        <is>
          <t>5.8-5.14</t>
        </is>
      </c>
      <c r="B626" s="16" t="inlineStr">
        <is>
          <t>PO-128-05745579766392136</t>
        </is>
      </c>
      <c r="C626" s="16" t="inlineStr">
        <is>
          <t>Delivered</t>
        </is>
      </c>
      <c r="D626" s="16" t="inlineStr">
        <is>
          <t>128-05745590252152136</t>
        </is>
      </c>
      <c r="E626" s="16" t="inlineStr">
        <is>
          <t>Delivered</t>
        </is>
      </c>
      <c r="F626" s="16" t="inlineStr">
        <is>
          <t>A500-N</t>
        </is>
      </c>
      <c r="G626" s="16" t="inlineStr">
        <is>
          <t>Bocina Bluetooth Portátil Barra de Sonido, Inalámbrica con FM Radio, TWS, USB/TF, Graves Potentes para Hogar y Exteriores</t>
        </is>
      </c>
      <c r="H626" s="16" t="inlineStr">
        <is>
          <t>NEGRO</t>
        </is>
      </c>
      <c r="I626" s="16" t="n">
        <v>1</v>
      </c>
      <c r="J626" s="17" t="n">
        <v>81.95999999999999</v>
      </c>
      <c r="K626" s="17" t="n">
        <v>94.81999999999999</v>
      </c>
      <c r="L626" s="17" t="n">
        <v>25.86</v>
      </c>
      <c r="M626" s="17" t="n">
        <v>0</v>
      </c>
      <c r="N626" s="17">
        <f>K626*0.08+L626*0.08</f>
        <v/>
      </c>
      <c r="O626" s="17">
        <f>-(K626*0.025+L626*0.025)</f>
        <v/>
      </c>
      <c r="P626" s="17">
        <f>32</f>
        <v/>
      </c>
      <c r="Q626" s="17">
        <f>J626+L626+N626+O626-P626-M626</f>
        <v/>
      </c>
    </row>
    <row r="627">
      <c r="A627" s="16" t="inlineStr">
        <is>
          <t>5.8-5.14</t>
        </is>
      </c>
      <c r="B627" s="16" t="inlineStr">
        <is>
          <t>PO-128-11146660859513609</t>
        </is>
      </c>
      <c r="C627" s="16" t="inlineStr">
        <is>
          <t>Delivered</t>
        </is>
      </c>
      <c r="D627" s="16" t="inlineStr">
        <is>
          <t>128-11146632023673609</t>
        </is>
      </c>
      <c r="E627" s="16" t="inlineStr">
        <is>
          <t>Delivered</t>
        </is>
      </c>
      <c r="F627" s="16" t="inlineStr">
        <is>
          <t>SA320T-P</t>
        </is>
      </c>
      <c r="G627" s="16" t="inlineStr">
        <is>
          <t>Altavoz inalámbrico portátil con Luces RGB, Radio FM y Manija - 5h Duración, TWS, TF Card, Compacto y Recargable via USB，Perfecto para viajes, fiestas y gaming</t>
        </is>
      </c>
      <c r="H627" s="16" t="inlineStr">
        <is>
          <t>rosa</t>
        </is>
      </c>
      <c r="I627" s="16" t="n">
        <v>1</v>
      </c>
      <c r="J627" s="17" t="n">
        <v>63</v>
      </c>
      <c r="K627" s="17" t="n">
        <v>73.73</v>
      </c>
      <c r="L627" s="17" t="n">
        <v>25.86</v>
      </c>
      <c r="M627" s="17" t="n">
        <v>0</v>
      </c>
      <c r="N627" s="17">
        <f>K627*0.08+L627*0.08</f>
        <v/>
      </c>
      <c r="O627" s="17">
        <f>-(K627*0.025+L627*0.025)</f>
        <v/>
      </c>
      <c r="P627" s="17">
        <f>32</f>
        <v/>
      </c>
      <c r="Q627" s="17">
        <f>J627+L627+N627+O627-P627-M627</f>
        <v/>
      </c>
    </row>
    <row r="628">
      <c r="A628" s="16" t="inlineStr">
        <is>
          <t>5.8-5.14</t>
        </is>
      </c>
      <c r="B628" s="16" t="inlineStr">
        <is>
          <t>PO-128-11108843625593899</t>
        </is>
      </c>
      <c r="C628" s="16" t="inlineStr">
        <is>
          <t>Delivered</t>
        </is>
      </c>
      <c r="D628" s="16" t="inlineStr">
        <is>
          <t>128-11108854111353899</t>
        </is>
      </c>
      <c r="E628" s="16" t="inlineStr">
        <is>
          <t>Delivered</t>
        </is>
      </c>
      <c r="F628" s="16" t="inlineStr">
        <is>
          <t>A500-N</t>
        </is>
      </c>
      <c r="G628" s="16" t="inlineStr">
        <is>
          <t>Bocina Bluetooth Portátil Barra de Sonido, Inalámbrica con FM Radio, TWS, USB/TF, Graves Potentes para Hogar y Exteriores</t>
        </is>
      </c>
      <c r="H628" s="16" t="inlineStr">
        <is>
          <t>NEGRO</t>
        </is>
      </c>
      <c r="I628" s="16" t="n">
        <v>1</v>
      </c>
      <c r="J628" s="17" t="n">
        <v>81.95999999999999</v>
      </c>
      <c r="K628" s="17" t="n">
        <v>94.81999999999999</v>
      </c>
      <c r="L628" s="17" t="n">
        <v>25.86</v>
      </c>
      <c r="M628" s="17" t="n">
        <v>0</v>
      </c>
      <c r="N628" s="17">
        <f>K628*0.08+L628*0.08</f>
        <v/>
      </c>
      <c r="O628" s="17">
        <f>-(K628*0.025+L628*0.025)</f>
        <v/>
      </c>
      <c r="P628" s="17">
        <f>32</f>
        <v/>
      </c>
      <c r="Q628" s="17">
        <f>J628+L628+N628+O628-P628-M628</f>
        <v/>
      </c>
    </row>
    <row r="629">
      <c r="A629" s="16" t="inlineStr">
        <is>
          <t>5.8-5.14</t>
        </is>
      </c>
      <c r="B629" s="16" t="inlineStr">
        <is>
          <t>PO-128-11178335719032522</t>
        </is>
      </c>
      <c r="C629" s="16" t="inlineStr">
        <is>
          <t>Delivered</t>
        </is>
      </c>
      <c r="D629" s="16" t="inlineStr">
        <is>
          <t>128-11178388147832522</t>
        </is>
      </c>
      <c r="E629" s="16" t="inlineStr">
        <is>
          <t>Delivered</t>
        </is>
      </c>
      <c r="F629" s="16" t="inlineStr">
        <is>
          <t>A500-A</t>
        </is>
      </c>
      <c r="G629" s="16" t="inlineStr">
        <is>
          <t>Bocina Bluetooth Portátil Barra de Sonido, Inalámbrica con FM Radio, TWS, USB/TF, Graves Potentes para Hogar y Exteriores</t>
        </is>
      </c>
      <c r="H629" s="16" t="inlineStr">
        <is>
          <t>AZUL</t>
        </is>
      </c>
      <c r="I629" s="16" t="n">
        <v>1</v>
      </c>
      <c r="J629" s="17" t="n">
        <v>78.88</v>
      </c>
      <c r="K629" s="17" t="n">
        <v>93.03</v>
      </c>
      <c r="L629" s="17" t="n">
        <v>25.86</v>
      </c>
      <c r="M629" s="17" t="n">
        <v>0</v>
      </c>
      <c r="N629" s="17">
        <f>K629*0.08+L629*0.08</f>
        <v/>
      </c>
      <c r="O629" s="17">
        <f>-(K629*0.025+L629*0.025)</f>
        <v/>
      </c>
      <c r="P629" s="17">
        <f>32</f>
        <v/>
      </c>
      <c r="Q629" s="17">
        <f>J629+L629+N629+O629-P629-M629</f>
        <v/>
      </c>
    </row>
    <row r="630">
      <c r="A630" s="16" t="inlineStr">
        <is>
          <t>5.8-5.14</t>
        </is>
      </c>
      <c r="B630" s="16" t="inlineStr">
        <is>
          <t>PO-128-11659758851190743</t>
        </is>
      </c>
      <c r="C630" s="16" t="inlineStr">
        <is>
          <t>Delivered</t>
        </is>
      </c>
      <c r="D630" s="16" t="inlineStr">
        <is>
          <t>128-11659811279990743</t>
        </is>
      </c>
      <c r="E630" s="16" t="inlineStr">
        <is>
          <t>Delivered</t>
        </is>
      </c>
      <c r="F630" s="16" t="inlineStr">
        <is>
          <t>A500-R</t>
        </is>
      </c>
      <c r="G630" s="16" t="inlineStr">
        <is>
          <t>Bocina Bluetooth Portátil Barra de Sonido, Inalámbrica con FM Radio, TWS, USB/TF, Graves Potentes para Hogar y Exteriores</t>
        </is>
      </c>
      <c r="H630" s="16" t="inlineStr">
        <is>
          <t>ROIO</t>
        </is>
      </c>
      <c r="I630" s="16" t="n">
        <v>1</v>
      </c>
      <c r="J630" s="17" t="n">
        <v>80</v>
      </c>
      <c r="K630" s="17" t="n">
        <v>94.16</v>
      </c>
      <c r="L630" s="17" t="n">
        <v>25.86</v>
      </c>
      <c r="M630" s="17" t="n">
        <v>0</v>
      </c>
      <c r="N630" s="17">
        <f>K630*0.08+L630*0.08</f>
        <v/>
      </c>
      <c r="O630" s="17">
        <f>-(K630*0.025+L630*0.025)</f>
        <v/>
      </c>
      <c r="P630" s="17">
        <f>32</f>
        <v/>
      </c>
      <c r="Q630" s="17">
        <f>J630+L630+N630+O630-P630-M630</f>
        <v/>
      </c>
    </row>
    <row r="631">
      <c r="A631" s="16" t="inlineStr">
        <is>
          <t>5.8-5.14</t>
        </is>
      </c>
      <c r="B631" s="16" t="inlineStr">
        <is>
          <t>PO-128-11070399470713166</t>
        </is>
      </c>
      <c r="C631" s="16" t="inlineStr">
        <is>
          <t>Delivered</t>
        </is>
      </c>
      <c r="D631" s="16" t="inlineStr">
        <is>
          <t>128-11070430927993166</t>
        </is>
      </c>
      <c r="E631" s="16" t="inlineStr">
        <is>
          <t>Delivered</t>
        </is>
      </c>
      <c r="F631" s="16" t="inlineStr">
        <is>
          <t>A500-N</t>
        </is>
      </c>
      <c r="G631" s="16" t="inlineStr">
        <is>
          <t>Bocina Bluetooth Portátil Barra de Sonido, Inalámbrica con FM Radio, TWS, USB/TF, Graves Potentes para Hogar y Exteriores</t>
        </is>
      </c>
      <c r="H631" s="16" t="inlineStr">
        <is>
          <t>NEGRO</t>
        </is>
      </c>
      <c r="I631" s="16" t="n">
        <v>1</v>
      </c>
      <c r="J631" s="17" t="n">
        <v>81.95999999999999</v>
      </c>
      <c r="K631" s="17" t="n">
        <v>94.81999999999999</v>
      </c>
      <c r="L631" s="17" t="n">
        <v>25.86</v>
      </c>
      <c r="M631" s="17" t="n">
        <v>0</v>
      </c>
      <c r="N631" s="17">
        <f>K631*0.08+L631*0.08</f>
        <v/>
      </c>
      <c r="O631" s="17">
        <f>-(K631*0.025+L631*0.025)</f>
        <v/>
      </c>
      <c r="P631" s="17">
        <f>32</f>
        <v/>
      </c>
      <c r="Q631" s="17">
        <f>J631+L631+N631+O631-P631-M631</f>
        <v/>
      </c>
    </row>
    <row r="632">
      <c r="A632" s="16" t="inlineStr">
        <is>
          <t>5.8-5.14</t>
        </is>
      </c>
      <c r="B632" s="16" t="inlineStr">
        <is>
          <t>PO-128-11660960584310542</t>
        </is>
      </c>
      <c r="C632" s="16" t="inlineStr">
        <is>
          <t>Delivered</t>
        </is>
      </c>
      <c r="D632" s="16" t="inlineStr">
        <is>
          <t>128-11660981555830542</t>
        </is>
      </c>
      <c r="E632" s="16" t="inlineStr">
        <is>
          <t>Delivered</t>
        </is>
      </c>
      <c r="F632" s="16" t="inlineStr">
        <is>
          <t>A500-N</t>
        </is>
      </c>
      <c r="G632" s="16" t="inlineStr">
        <is>
          <t>Bocina Bluetooth Portátil Barra de Sonido, Inalámbrica con FM Radio, TWS, USB/TF, Graves Potentes para Hogar y Exteriores</t>
        </is>
      </c>
      <c r="H632" s="16" t="inlineStr">
        <is>
          <t>NEGRO</t>
        </is>
      </c>
      <c r="I632" s="16" t="n">
        <v>1</v>
      </c>
      <c r="J632" s="17" t="n">
        <v>81.95999999999999</v>
      </c>
      <c r="K632" s="17" t="n">
        <v>94.81999999999999</v>
      </c>
      <c r="L632" s="17" t="n">
        <v>25.86</v>
      </c>
      <c r="M632" s="17" t="n">
        <v>0</v>
      </c>
      <c r="N632" s="17">
        <f>K632*0.08+L632*0.08</f>
        <v/>
      </c>
      <c r="O632" s="17">
        <f>-(K632*0.025+L632*0.025)</f>
        <v/>
      </c>
      <c r="P632" s="17">
        <f>32</f>
        <v/>
      </c>
      <c r="Q632" s="17">
        <f>J632+L632+N632+O632-P632-M632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5" t="inlineStr">
        <is>
          <t>项目</t>
        </is>
      </c>
      <c r="B1" s="19" t="inlineStr">
        <is>
          <t>公式/口径</t>
        </is>
      </c>
    </row>
    <row r="2">
      <c r="A2" s="16" t="inlineStr">
        <is>
          <t>返还VAT（应收）</t>
        </is>
      </c>
      <c r="B2" s="16" t="inlineStr">
        <is>
          <t>Retail price total after discounts(tax excl.)*0.08 + Shipping total(tax excl.)*0.08</t>
        </is>
      </c>
    </row>
    <row r="3">
      <c r="A3" s="16" t="inlineStr">
        <is>
          <t>ISR预扣（应扣）</t>
        </is>
      </c>
      <c r="B3" s="16" t="inlineStr">
        <is>
          <t>-(Retail price total after discounts(tax excl.)*0.025 + Shipping total(tax excl.)*0.025)</t>
        </is>
      </c>
    </row>
    <row r="4">
      <c r="A4" s="16" t="inlineStr">
        <is>
          <t>尾程预估（应扣）</t>
        </is>
      </c>
      <c r="B4" s="16" t="inlineStr">
        <is>
          <t>每个订单行固定 32</t>
        </is>
      </c>
    </row>
    <row r="5">
      <c r="A5" s="16" t="inlineStr">
        <is>
          <t>GMV</t>
        </is>
      </c>
      <c r="B5" s="16" t="inlineStr">
        <is>
          <t>Base price total + Shipping total(tax excl.) + 返还VAT（应收） + ISR预扣（应扣） - 尾程预估（应扣） - Product refund</t>
        </is>
      </c>
    </row>
    <row r="6">
      <c r="A6" s="16" t="inlineStr">
        <is>
          <t>数据范围</t>
        </is>
      </c>
      <c r="B6" s="16" t="inlineStr">
        <is>
          <t>5.1-5.7, 5.8-5.14, 5.15-5.21, 5.22-5.28, 5.29-6.4 订单导出文件；原始 659 行，已剔除取消订单 28 行，纳入分析 631 行。</t>
        </is>
      </c>
    </row>
    <row r="7">
      <c r="A7" s="16" t="inlineStr">
        <is>
          <t>客单价</t>
        </is>
      </c>
      <c r="B7" s="16" t="inlineStr">
        <is>
          <t>GMV / 去重订单数</t>
        </is>
      </c>
    </row>
    <row r="8">
      <c r="A8" s="16" t="inlineStr">
        <is>
          <t>件单价</t>
        </is>
      </c>
      <c r="B8" s="16" t="inlineStr">
        <is>
          <t>GMV / 销量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2026-06-07T02:46:23Z</dcterms:created>
  <dcterms:modified xsi:type="dcterms:W3CDTF">2026-06-07T02:46:23Z</dcterms:modified>
</cp:coreProperties>
</file>